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imos\Desktop\A.B_Test_Polytech\Excel\"/>
    </mc:Choice>
  </mc:AlternateContent>
  <xr:revisionPtr revIDLastSave="0" documentId="13_ncr:1_{D3684798-0A0B-4722-9681-636068D43A01}" xr6:coauthVersionLast="47" xr6:coauthVersionMax="47" xr10:uidLastSave="{00000000-0000-0000-0000-000000000000}"/>
  <bookViews>
    <workbookView xWindow="-120" yWindow="-120" windowWidth="29040" windowHeight="16440" firstSheet="1" activeTab="6" xr2:uid="{FC471407-419A-4A81-BCF1-BE259FD66E03}"/>
  </bookViews>
  <sheets>
    <sheet name="jira_full_export" sheetId="9" r:id="rId1"/>
    <sheet name="simple_data_Table" sheetId="2" r:id="rId2"/>
    <sheet name="jira_aggregated_data" sheetId="5" r:id="rId3"/>
    <sheet name="jira_daily_stats" sheetId="8" r:id="rId4"/>
    <sheet name="T-test" sheetId="6" r:id="rId5"/>
    <sheet name="Сводные таблицы" sheetId="3" r:id="rId6"/>
    <sheet name="Дашборд" sheetId="10" r:id="rId7"/>
  </sheets>
  <definedNames>
    <definedName name="ExternalData_1" localSheetId="2" hidden="1">jira_aggregated_data!$A$1:$D$29</definedName>
    <definedName name="ExternalData_1" localSheetId="3" hidden="1">jira_daily_stats!$A$1:$C$30</definedName>
    <definedName name="ExternalData_1" localSheetId="0" hidden="1">jira_full_export!$A$1:$AL$101</definedName>
    <definedName name="ExternalData_1" localSheetId="1" hidden="1">simple_data_Table!$A$1:$L$101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0" l="1"/>
  <c r="B11" i="10"/>
  <c r="B9" i="10"/>
  <c r="B10" i="10" s="1"/>
  <c r="C7" i="10"/>
  <c r="B7" i="10"/>
  <c r="C6" i="10"/>
  <c r="B6" i="10"/>
  <c r="D6" i="10" s="1"/>
  <c r="C5" i="10"/>
  <c r="B5" i="10"/>
  <c r="C4" i="10"/>
  <c r="B4" i="10"/>
  <c r="D4" i="10" s="1"/>
  <c r="D27" i="6"/>
  <c r="D26" i="6"/>
  <c r="I27" i="3"/>
  <c r="I29" i="3"/>
  <c r="H29" i="3"/>
  <c r="G29" i="3"/>
  <c r="I28" i="3"/>
  <c r="H28" i="3"/>
  <c r="G28" i="3"/>
  <c r="H27" i="3"/>
  <c r="G27" i="3"/>
  <c r="D25" i="6" a="1"/>
  <c r="D25" i="6" s="1"/>
  <c r="D24" i="6"/>
  <c r="D23" i="6"/>
  <c r="D22" i="6"/>
  <c r="D5" i="10" l="1"/>
  <c r="D7" i="10"/>
  <c r="D21" i="6"/>
  <c r="D20" i="6"/>
  <c r="B25" i="6" l="1"/>
  <c r="B24" i="6"/>
  <c r="B26" i="6" l="1"/>
  <c r="C3" i="6" l="1" a="1"/>
  <c r="C3" i="6" s="1"/>
  <c r="B3" i="6" a="1"/>
  <c r="B3" i="6" s="1"/>
  <c r="B22" i="6" l="1"/>
  <c r="B19" i="6"/>
  <c r="B17" i="6"/>
  <c r="B23" i="6"/>
  <c r="B20" i="6"/>
  <c r="C1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70C2EF-3BEB-4225-8EB5-CA9348E42366}" keepAlive="1" name="Запрос — jira_aggregated_data" description="Соединение с запросом &quot;jira_aggregated_data&quot; в книге." type="5" refreshedVersion="7" background="1" saveData="1">
    <dbPr connection="Provider=Microsoft.Mashup.OleDb.1;Data Source=$Workbook$;Location=jira_aggregated_data;Extended Properties=&quot;&quot;" command="SELECT * FROM [jira_aggregated_data]"/>
  </connection>
  <connection id="2" xr16:uid="{ABA21A15-32A5-40AF-ADAB-B332680D3054}" keepAlive="1" name="Запрос — jira_daily_stats" description="Соединение с запросом &quot;jira_daily_stats&quot; в книге." type="5" refreshedVersion="7" background="1" saveData="1">
    <dbPr connection="Provider=Microsoft.Mashup.OleDb.1;Data Source=$Workbook$;Location=jira_daily_stats;Extended Properties=&quot;&quot;" command="SELECT * FROM [jira_daily_stats]"/>
  </connection>
  <connection id="3" xr16:uid="{11E5FF00-6FC2-4B71-92A4-5497CD1C562D}" keepAlive="1" name="Запрос — jira_full_export" description="Соединение с запросом &quot;jira_full_export&quot; в книге." type="5" refreshedVersion="7" background="1" saveData="1">
    <dbPr connection="Provider=Microsoft.Mashup.OleDb.1;Data Source=$Workbook$;Location=jira_full_export;Extended Properties=&quot;&quot;" command="SELECT * FROM [jira_full_export]"/>
  </connection>
  <connection id="4" xr16:uid="{59827873-00F4-4507-A61D-BF662730C4D2}" keepAlive="1" name="Запрос — jira_simple_export" description="Соединение с запросом &quot;jira_simple_export&quot; в книге." type="5" refreshedVersion="7" background="1" saveData="1">
    <dbPr connection="Provider=Microsoft.Mashup.OleDb.1;Data Source=$Workbook$;Location=jira_simple_export;Extended Properties=&quot;&quot;" command="SELECT * FROM [jira_simple_expor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<sst xmlns="http://schemas.openxmlformats.org/spreadsheetml/2006/main" count="4119" uniqueCount="668">
  <si>
    <t>Issue Key</t>
  </si>
  <si>
    <t>Summary</t>
  </si>
  <si>
    <t>Status</t>
  </si>
  <si>
    <t>Priority</t>
  </si>
  <si>
    <t>Created</t>
  </si>
  <si>
    <t>Аудитория</t>
  </si>
  <si>
    <t>Группа A/B теста</t>
  </si>
  <si>
    <t>Категория проблемы</t>
  </si>
  <si>
    <t>Component/s</t>
  </si>
  <si>
    <t>Время решения (часы)</t>
  </si>
  <si>
    <t>Кафедра</t>
  </si>
  <si>
    <t>Влияние на процесс</t>
  </si>
  <si>
    <t>MMC-1004</t>
  </si>
  <si>
    <t>Не могу включить проектор в аудитории Гл-108</t>
  </si>
  <si>
    <t>Решена</t>
  </si>
  <si>
    <t>Low</t>
  </si>
  <si>
    <t>Гл-108</t>
  </si>
  <si>
    <t>A</t>
  </si>
  <si>
    <t>Не могу включить проектор</t>
  </si>
  <si>
    <t>Другое оборудование</t>
  </si>
  <si>
    <t>Кафедра безопасности информационных систем</t>
  </si>
  <si>
    <t>Высокое</t>
  </si>
  <si>
    <t>MMC-1097</t>
  </si>
  <si>
    <t>Неисправность оборудования в Гл-210: Не могу включить проектор</t>
  </si>
  <si>
    <t>Medium</t>
  </si>
  <si>
    <t>Гл-210</t>
  </si>
  <si>
    <t>B</t>
  </si>
  <si>
    <t>Сетевое оборудование</t>
  </si>
  <si>
    <t>Кафедра иностранных языков</t>
  </si>
  <si>
    <t>Низкое</t>
  </si>
  <si>
    <t>MMC-1033</t>
  </si>
  <si>
    <t>Нет изображения на экране в аудитории Гл-115</t>
  </si>
  <si>
    <t>Гл-115</t>
  </si>
  <si>
    <t>Нет изображения на экране</t>
  </si>
  <si>
    <t>ПО</t>
  </si>
  <si>
    <t>MMC-1091</t>
  </si>
  <si>
    <t>Неисправность оборудования в Гл-211: Другая проблема</t>
  </si>
  <si>
    <t>Гл-211</t>
  </si>
  <si>
    <t>Другая проблема</t>
  </si>
  <si>
    <t>Акустика</t>
  </si>
  <si>
    <t>Кафедра инженерной графики</t>
  </si>
  <si>
    <t>Критичное</t>
  </si>
  <si>
    <t>MMC-1074</t>
  </si>
  <si>
    <t>Аудитория Гл-208: Сложность с настройкой источников</t>
  </si>
  <si>
    <t>Гл-208</t>
  </si>
  <si>
    <t>Сложность с настройкой источников</t>
  </si>
  <si>
    <t>Кафедра информатики и вычислительной техники</t>
  </si>
  <si>
    <t>Среднее</t>
  </si>
  <si>
    <t>MMC-1025</t>
  </si>
  <si>
    <t>Неисправность оборудования в Гл-105: Не могу включить проектор</t>
  </si>
  <si>
    <t>Гл-105</t>
  </si>
  <si>
    <t>MMC-1035</t>
  </si>
  <si>
    <t>Не подключается ноутбук через HDMI. Аудитория: Гл-105</t>
  </si>
  <si>
    <t>Не подключается ноутбук через HDMI</t>
  </si>
  <si>
    <t>Компьютер</t>
  </si>
  <si>
    <t>Кафедра высшей математики</t>
  </si>
  <si>
    <t>MMC-1002</t>
  </si>
  <si>
    <t>Другая проблема. Аудитория: Гл-112</t>
  </si>
  <si>
    <t>В работе</t>
  </si>
  <si>
    <t>Гл-112</t>
  </si>
  <si>
    <t>Кафедра органической химии</t>
  </si>
  <si>
    <t>MMC-1072</t>
  </si>
  <si>
    <t>Аудитория Гл-207: Нет изображения на экране</t>
  </si>
  <si>
    <t>Highest</t>
  </si>
  <si>
    <t>Гл-207</t>
  </si>
  <si>
    <t>MMC-1037</t>
  </si>
  <si>
    <t>Неисправность оборудования в Гл-112: Не могу включить проектор</t>
  </si>
  <si>
    <t>Кафедра общей физики</t>
  </si>
  <si>
    <t>MMC-1001</t>
  </si>
  <si>
    <t>Неисправность оборудования в Гл-111: Не запускается мультимедийное ПО</t>
  </si>
  <si>
    <t>Гл-111</t>
  </si>
  <si>
    <t>Не запускается мультимедийное ПО</t>
  </si>
  <si>
    <t>Проектор</t>
  </si>
  <si>
    <t>Кафедра истории России</t>
  </si>
  <si>
    <t>MMC-1088</t>
  </si>
  <si>
    <t>Не могу включить проектор. Аудитория: Гл-202</t>
  </si>
  <si>
    <t>Гл-202</t>
  </si>
  <si>
    <t>MMC-1062</t>
  </si>
  <si>
    <t>Проблема: Проблема с переключением режимов (аудитория Гл-207)</t>
  </si>
  <si>
    <t>Проблема с переключением режимов</t>
  </si>
  <si>
    <t>MMC-1083</t>
  </si>
  <si>
    <t>Не подключается ноутбук через HDMI в аудитории Гл-206</t>
  </si>
  <si>
    <t>Гл-206</t>
  </si>
  <si>
    <t>MMC-1068</t>
  </si>
  <si>
    <t>Сложность с настройкой источников. Аудитория: Гл-207</t>
  </si>
  <si>
    <t>High</t>
  </si>
  <si>
    <t>MMC-1082</t>
  </si>
  <si>
    <t>Неисправность оборудования в Гл-215: Не могу включить проектор</t>
  </si>
  <si>
    <t>Гл-215</t>
  </si>
  <si>
    <t>MMC-1093</t>
  </si>
  <si>
    <t>Проблема: Не могу включить проектор (аудитория Гл-201)</t>
  </si>
  <si>
    <t>Гл-201</t>
  </si>
  <si>
    <t>MMC-1060</t>
  </si>
  <si>
    <t>Не подключается ноутбук через HDMI. Аудитория: Гл-110</t>
  </si>
  <si>
    <t>Гл-110</t>
  </si>
  <si>
    <t>MMC-1100</t>
  </si>
  <si>
    <t>Аудитория Гл-212: Сложность с настройкой источников</t>
  </si>
  <si>
    <t>Закрыта</t>
  </si>
  <si>
    <t>Гл-212</t>
  </si>
  <si>
    <t>MMC-1032</t>
  </si>
  <si>
    <t>Другая проблема. Аудитория: Гл-103</t>
  </si>
  <si>
    <t>Гл-103</t>
  </si>
  <si>
    <t>Кафедра философии и социологии</t>
  </si>
  <si>
    <t>MMC-1094</t>
  </si>
  <si>
    <t>Сложность с настройкой источников. Аудитория: Гл-202</t>
  </si>
  <si>
    <t>MMC-1047</t>
  </si>
  <si>
    <t>Проблема: Не запускается мультимедийное ПО (аудитория Гл-105)</t>
  </si>
  <si>
    <t>MMC-1009</t>
  </si>
  <si>
    <t>Аудитория Гл-104: Не могу включить проектор</t>
  </si>
  <si>
    <t>Гл-104</t>
  </si>
  <si>
    <t>Кафедра экономики и менеджмента</t>
  </si>
  <si>
    <t>MMC-1080</t>
  </si>
  <si>
    <t>Неисправность оборудования в Гл-203: Сложность с настройкой источников</t>
  </si>
  <si>
    <t>Открыта</t>
  </si>
  <si>
    <t>Гл-203</t>
  </si>
  <si>
    <t>MMC-1016</t>
  </si>
  <si>
    <t>Аудитория Гл-105: Не могу включить проектор</t>
  </si>
  <si>
    <t>MMC-1026</t>
  </si>
  <si>
    <t>Аудитория Гл-115: Не запускается мультимедийное ПО</t>
  </si>
  <si>
    <t>MMC-1003</t>
  </si>
  <si>
    <t>Проблема: Требуется инструкция по использованию (аудитория Гл-103)</t>
  </si>
  <si>
    <t>Требуется инструкция по использованию</t>
  </si>
  <si>
    <t>MMC-1049</t>
  </si>
  <si>
    <t>Нет звука в аудиосистеме. Аудитория: Гл-115</t>
  </si>
  <si>
    <t>Нет звука в аудиосистеме</t>
  </si>
  <si>
    <t>MMC-1024</t>
  </si>
  <si>
    <t>Аудитория Гл-107: Другая проблема</t>
  </si>
  <si>
    <t>Гл-107</t>
  </si>
  <si>
    <t>MMC-1017</t>
  </si>
  <si>
    <t>Нет звука в аудиосистеме. Аудитория: Гл-104</t>
  </si>
  <si>
    <t>MMC-1005</t>
  </si>
  <si>
    <t>Не запускается мультимедийное ПО. Аудитория: Гл-104</t>
  </si>
  <si>
    <t>MMC-1038</t>
  </si>
  <si>
    <t>Аудитория Гл-103: Нет изображения на экране</t>
  </si>
  <si>
    <t>MMC-1078</t>
  </si>
  <si>
    <t>Другая проблема. Аудитория: Гл-209</t>
  </si>
  <si>
    <t>Гл-209</t>
  </si>
  <si>
    <t>MMC-1030</t>
  </si>
  <si>
    <t>Неисправность оборудования в Гл-102: Требуется инструкция по использованию</t>
  </si>
  <si>
    <t>Гл-102</t>
  </si>
  <si>
    <t>MMC-1059</t>
  </si>
  <si>
    <t>Не подключается ноутбук через HDMI в аудитории Гл-103</t>
  </si>
  <si>
    <t>MMC-1039</t>
  </si>
  <si>
    <t>Проблема: Не запускается мультимедийное ПО (аудитория Гл-104)</t>
  </si>
  <si>
    <t>MMC-1042</t>
  </si>
  <si>
    <t>Аудитория Гл-109: Нет звука в аудиосистеме</t>
  </si>
  <si>
    <t>Гл-109</t>
  </si>
  <si>
    <t>MMC-1095</t>
  </si>
  <si>
    <t>Аудитория Гл-207: Нет звука в аудиосистеме</t>
  </si>
  <si>
    <t>MMC-1087</t>
  </si>
  <si>
    <t>Проблема: Другая проблема (аудитория Гл-209)</t>
  </si>
  <si>
    <t>MMC-1051</t>
  </si>
  <si>
    <t>Нет изображения на экране в аудитории Гл-102</t>
  </si>
  <si>
    <t>MMC-1019</t>
  </si>
  <si>
    <t>Аудитория Гл-109: Не могу включить проектор</t>
  </si>
  <si>
    <t>MMC-1012</t>
  </si>
  <si>
    <t>Нет изображения на экране в аудитории Гл-104</t>
  </si>
  <si>
    <t>MMC-1013</t>
  </si>
  <si>
    <t>Требуется инструкция по использованию в аудитории Гл-105</t>
  </si>
  <si>
    <t>MMC-1096</t>
  </si>
  <si>
    <t>Другая проблема. Аудитория: Гл-212</t>
  </si>
  <si>
    <t>MMC-1023</t>
  </si>
  <si>
    <t>Аудитория Гл-111: Не могу включить проектор</t>
  </si>
  <si>
    <t>MMC-1079</t>
  </si>
  <si>
    <t>Неисправность оборудования в Гл-202: Не могу включить проектор</t>
  </si>
  <si>
    <t>MMC-1057</t>
  </si>
  <si>
    <t>Неисправность оборудования в Гл-110: Не могу включить проектор</t>
  </si>
  <si>
    <t>MMC-1022</t>
  </si>
  <si>
    <t>Не могу включить проектор в аудитории Гл-104</t>
  </si>
  <si>
    <t>MMC-1041</t>
  </si>
  <si>
    <t>Неисправность оборудования в Гл-103: Нет звука в аудиосистеме</t>
  </si>
  <si>
    <t>MMC-1089</t>
  </si>
  <si>
    <t>Проблема: Нет изображения на экране (аудитория Гл-207)</t>
  </si>
  <si>
    <t>MMC-1065</t>
  </si>
  <si>
    <t>Сложность с настройкой источников. Аудитория: Гл-215</t>
  </si>
  <si>
    <t>MMC-1053</t>
  </si>
  <si>
    <t>Не могу включить проектор в аудитории Гл-109</t>
  </si>
  <si>
    <t>MMC-1029</t>
  </si>
  <si>
    <t>Аудитория Гл-102: Не могу включить проектор</t>
  </si>
  <si>
    <t>MMC-1028</t>
  </si>
  <si>
    <t>Нет звука в аудиосистеме. Аудитория: Гл-106</t>
  </si>
  <si>
    <t>Гл-106</t>
  </si>
  <si>
    <t>MMC-1021</t>
  </si>
  <si>
    <t>MMC-1010</t>
  </si>
  <si>
    <t>Проблема: Не могу включить проектор (аудитория Гл-111)</t>
  </si>
  <si>
    <t>MMC-1018</t>
  </si>
  <si>
    <t>Другая проблема в аудитории Гл-115</t>
  </si>
  <si>
    <t>MMC-1006</t>
  </si>
  <si>
    <t>MMC-1054</t>
  </si>
  <si>
    <t>Аудитория Гл-106: Не подключается ноутбук через HDMI</t>
  </si>
  <si>
    <t>MMC-1081</t>
  </si>
  <si>
    <t>Аудитория Гл-204: Нет изображения на экране</t>
  </si>
  <si>
    <t>Гл-204</t>
  </si>
  <si>
    <t>MMC-1061</t>
  </si>
  <si>
    <t>Проблема: Нет изображения на экране (аудитория Гл-203)</t>
  </si>
  <si>
    <t>MMC-1056</t>
  </si>
  <si>
    <t>Аудитория Гл-106: Не могу включить проектор</t>
  </si>
  <si>
    <t>MMC-1020</t>
  </si>
  <si>
    <t>Проблема: Нет звука в аудиосистеме (аудитория Гл-109)</t>
  </si>
  <si>
    <t>MMC-1064</t>
  </si>
  <si>
    <t>Другая проблема. Аудитория: Гл-201</t>
  </si>
  <si>
    <t>MMC-1011</t>
  </si>
  <si>
    <t>Проблема: Требуется инструкция по использованию (аудитория Гл-107)</t>
  </si>
  <si>
    <t>MMC-1055</t>
  </si>
  <si>
    <t>Не запускается мультимедийное ПО в аудитории Гл-109</t>
  </si>
  <si>
    <t>MMC-1071</t>
  </si>
  <si>
    <t>Сложность с настройкой источников в аудитории Гл-206</t>
  </si>
  <si>
    <t>MMC-1046</t>
  </si>
  <si>
    <t>Проблема: Нет изображения на экране (аудитория Гл-101)</t>
  </si>
  <si>
    <t>Гл-101</t>
  </si>
  <si>
    <t>MMC-1031</t>
  </si>
  <si>
    <t>Аудитория Гл-102: Не подключается ноутбук через HDMI</t>
  </si>
  <si>
    <t>MMC-1058</t>
  </si>
  <si>
    <t>Нет изображения на экране. Аудитория: Гл-102</t>
  </si>
  <si>
    <t>MMC-1015</t>
  </si>
  <si>
    <t>Неисправность оборудования в Гл-115: Не могу включить проектор</t>
  </si>
  <si>
    <t>MMC-1034</t>
  </si>
  <si>
    <t>Неисправность оборудования в Гл-101: Не подключается ноутбук через HDMI</t>
  </si>
  <si>
    <t>MMC-1036</t>
  </si>
  <si>
    <t>Не могу включить проектор. Аудитория: Гл-114</t>
  </si>
  <si>
    <t>Гл-114</t>
  </si>
  <si>
    <t>MMC-1090</t>
  </si>
  <si>
    <t>Неисправность оборудования в Гл-211: Нет изображения на экране</t>
  </si>
  <si>
    <t>MMC-1008</t>
  </si>
  <si>
    <t>Не запускается мультимедийное ПО. Аудитория: Гл-102</t>
  </si>
  <si>
    <t>MMC-1044</t>
  </si>
  <si>
    <t>Аудитория Гл-108: Нет звука в аудиосистеме</t>
  </si>
  <si>
    <t>MMC-1099</t>
  </si>
  <si>
    <t>Аудитория Гл-201: Сложность с настройкой источников</t>
  </si>
  <si>
    <t>MMC-1014</t>
  </si>
  <si>
    <t>Неисправность оборудования в Гл-114: Нет изображения на экране</t>
  </si>
  <si>
    <t>MMC-1027</t>
  </si>
  <si>
    <t>Аудитория Гл-110: Не могу включить проектор</t>
  </si>
  <si>
    <t>MMC-1085</t>
  </si>
  <si>
    <t>Неисправность оборудования в Гл-210: Другая проблема</t>
  </si>
  <si>
    <t>MMC-1007</t>
  </si>
  <si>
    <t>Не подключается ноутбук через HDMI в аудитории Гл-111</t>
  </si>
  <si>
    <t>MMC-1069</t>
  </si>
  <si>
    <t>Аудитория Гл-212: Проблема с переключением режимов</t>
  </si>
  <si>
    <t>MMC-1092</t>
  </si>
  <si>
    <t>Требуется инструкция по использованию. Аудитория: Гл-202</t>
  </si>
  <si>
    <t>MMC-1070</t>
  </si>
  <si>
    <t>Не подключается ноутбук через HDMI. Аудитория: Гл-203</t>
  </si>
  <si>
    <t>MMC-1077</t>
  </si>
  <si>
    <t>Аудитория Гл-210: Сложность с настройкой источников</t>
  </si>
  <si>
    <t>MMC-1086</t>
  </si>
  <si>
    <t>Другая проблема в аудитории Гл-205</t>
  </si>
  <si>
    <t>Гл-205</t>
  </si>
  <si>
    <t>MMC-1043</t>
  </si>
  <si>
    <t>Не могу включить проектор. Аудитория: Гл-110</t>
  </si>
  <si>
    <t>MMC-1066</t>
  </si>
  <si>
    <t>Неисправность оборудования в Гл-213: Не запускается мультимедийное ПО</t>
  </si>
  <si>
    <t>Гл-213</t>
  </si>
  <si>
    <t>MMC-1076</t>
  </si>
  <si>
    <t>Другая проблема. Аудитория: Гл-210</t>
  </si>
  <si>
    <t>MMC-1052</t>
  </si>
  <si>
    <t>Неисправность оборудования в Гл-103: Не могу включить проектор</t>
  </si>
  <si>
    <t>MMC-1050</t>
  </si>
  <si>
    <t>Нет звука в аудиосистеме в аудитории Гл-112</t>
  </si>
  <si>
    <t>MMC-1048</t>
  </si>
  <si>
    <t>Проблема: Нет изображения на экране (аудитория Гл-107)</t>
  </si>
  <si>
    <t>MMC-1067</t>
  </si>
  <si>
    <t>Неисправность оборудования в Гл-201: Не подключается ноутбук через HDMI</t>
  </si>
  <si>
    <t>MMC-1084</t>
  </si>
  <si>
    <t>Другая проблема. Аудитория: Гл-208</t>
  </si>
  <si>
    <t>MMC-1075</t>
  </si>
  <si>
    <t>Проблема: Не запускается мультимедийное ПО (аудитория Гл-215)</t>
  </si>
  <si>
    <t>MMC-1073</t>
  </si>
  <si>
    <t>Требуется инструкция по использованию. Аудитория: Гл-215</t>
  </si>
  <si>
    <t>MMC-1040</t>
  </si>
  <si>
    <t>Не запускается мультимедийное ПО в аудитории Гл-101</t>
  </si>
  <si>
    <t>MMC-1098</t>
  </si>
  <si>
    <t>Проблема: Нет изображения на экране (аудитория Гл-215)</t>
  </si>
  <si>
    <t>MMC-1045</t>
  </si>
  <si>
    <t>Нет изображения на экране. Аудитория: Гл-109</t>
  </si>
  <si>
    <t>MMC-1063</t>
  </si>
  <si>
    <t>Нет звука в аудиосистеме в аудитории Гл-202</t>
  </si>
  <si>
    <t>Названия строк</t>
  </si>
  <si>
    <t>Общий итог</t>
  </si>
  <si>
    <t>Количество по полю Issue Key</t>
  </si>
  <si>
    <t>Среднее по полю Время решения (часы)</t>
  </si>
  <si>
    <t>20.2</t>
  </si>
  <si>
    <t>7.6</t>
  </si>
  <si>
    <t>24.2</t>
  </si>
  <si>
    <t>38.2</t>
  </si>
  <si>
    <t>40.6</t>
  </si>
  <si>
    <t>8.8</t>
  </si>
  <si>
    <t>4.9</t>
  </si>
  <si>
    <t/>
  </si>
  <si>
    <t>39.5</t>
  </si>
  <si>
    <t>20.9</t>
  </si>
  <si>
    <t>15.1</t>
  </si>
  <si>
    <t>1.7</t>
  </si>
  <si>
    <t>5.5</t>
  </si>
  <si>
    <t>7.4</t>
  </si>
  <si>
    <t>34.2</t>
  </si>
  <si>
    <t>27.5</t>
  </si>
  <si>
    <t>22.9</t>
  </si>
  <si>
    <t>31.9</t>
  </si>
  <si>
    <t>40.9</t>
  </si>
  <si>
    <t>3.9</t>
  </si>
  <si>
    <t>27.6</t>
  </si>
  <si>
    <t>15.2</t>
  </si>
  <si>
    <t>46.6</t>
  </si>
  <si>
    <t>26.4</t>
  </si>
  <si>
    <t>38.5</t>
  </si>
  <si>
    <t>29.5</t>
  </si>
  <si>
    <t>46.2</t>
  </si>
  <si>
    <t>10.1</t>
  </si>
  <si>
    <t>34.0</t>
  </si>
  <si>
    <t>46.3</t>
  </si>
  <si>
    <t>21.2</t>
  </si>
  <si>
    <t>38.3</t>
  </si>
  <si>
    <t>45.2</t>
  </si>
  <si>
    <t>29.8</t>
  </si>
  <si>
    <t>22.8</t>
  </si>
  <si>
    <t>19.8</t>
  </si>
  <si>
    <t>5.9</t>
  </si>
  <si>
    <t>30.6</t>
  </si>
  <si>
    <t>45.3</t>
  </si>
  <si>
    <t>38.4</t>
  </si>
  <si>
    <t>35.2</t>
  </si>
  <si>
    <t>41.9</t>
  </si>
  <si>
    <t>26.6</t>
  </si>
  <si>
    <t>7.5</t>
  </si>
  <si>
    <t>36.1</t>
  </si>
  <si>
    <t>6.2</t>
  </si>
  <si>
    <t>7.9</t>
  </si>
  <si>
    <t>47.9</t>
  </si>
  <si>
    <t>29.3</t>
  </si>
  <si>
    <t>35.4</t>
  </si>
  <si>
    <t>13.0</t>
  </si>
  <si>
    <t>37.7</t>
  </si>
  <si>
    <t>47.0</t>
  </si>
  <si>
    <t>19.0</t>
  </si>
  <si>
    <t>12.7</t>
  </si>
  <si>
    <t>9.1</t>
  </si>
  <si>
    <t>6.0</t>
  </si>
  <si>
    <t>1.4</t>
  </si>
  <si>
    <t>9.9</t>
  </si>
  <si>
    <t>21.4</t>
  </si>
  <si>
    <t>44.1</t>
  </si>
  <si>
    <t>9.7</t>
  </si>
  <si>
    <t>37.2</t>
  </si>
  <si>
    <t>48.3</t>
  </si>
  <si>
    <t>40.8</t>
  </si>
  <si>
    <t>25.4</t>
  </si>
  <si>
    <t>20.8</t>
  </si>
  <si>
    <t>23.1</t>
  </si>
  <si>
    <t>27.1</t>
  </si>
  <si>
    <t>27.0</t>
  </si>
  <si>
    <t>34.9</t>
  </si>
  <si>
    <t>16.8</t>
  </si>
  <si>
    <t>39.0</t>
  </si>
  <si>
    <t>(Все)</t>
  </si>
  <si>
    <t>Названия столбцов</t>
  </si>
  <si>
    <t>Количество заявок</t>
  </si>
  <si>
    <t>Среднее время решения</t>
  </si>
  <si>
    <t>-</t>
  </si>
  <si>
    <t>Расчет T-теста</t>
  </si>
  <si>
    <t>Статистика</t>
  </si>
  <si>
    <t>Среднее A</t>
  </si>
  <si>
    <t>Среднее B</t>
  </si>
  <si>
    <t>Стандартное отклонение A</t>
  </si>
  <si>
    <t>Стандартное отклонение B</t>
  </si>
  <si>
    <t>Итого</t>
  </si>
  <si>
    <t>T-тест</t>
  </si>
  <si>
    <t>Гипотеза (Разность предпологаемых средних)</t>
  </si>
  <si>
    <t>Размер первой выборки</t>
  </si>
  <si>
    <t>Размер второй выборки</t>
  </si>
  <si>
    <t>Оценка стандартной ошибки разности средних</t>
  </si>
  <si>
    <t>Расчет степеней свободы</t>
  </si>
  <si>
    <t>Дисперсия распределений выборочных средних первой выборки</t>
  </si>
  <si>
    <t>Дисперсия распределений выборочных средних второй выборки</t>
  </si>
  <si>
    <t>Степени свободы</t>
  </si>
  <si>
    <t>p-значение</t>
  </si>
  <si>
    <t>Интерпритация</t>
  </si>
  <si>
    <t>Дата</t>
  </si>
  <si>
    <t>Issue Type</t>
  </si>
  <si>
    <t>Description</t>
  </si>
  <si>
    <t>Resolution</t>
  </si>
  <si>
    <t>Updated</t>
  </si>
  <si>
    <t>Resolved</t>
  </si>
  <si>
    <t>Affects Version/s</t>
  </si>
  <si>
    <t>Fix Version/s</t>
  </si>
  <si>
    <t>Reporter</t>
  </si>
  <si>
    <t>Assignee</t>
  </si>
  <si>
    <t>Votes</t>
  </si>
  <si>
    <t>Watchers</t>
  </si>
  <si>
    <t>Original Estimate</t>
  </si>
  <si>
    <t>Remaining Estimate</t>
  </si>
  <si>
    <t>Time Spent</t>
  </si>
  <si>
    <t>Work Ratio</t>
  </si>
  <si>
    <t>Источник заявки</t>
  </si>
  <si>
    <t>Комментарии</t>
  </si>
  <si>
    <t>Labels</t>
  </si>
  <si>
    <t>Environment</t>
  </si>
  <si>
    <t>Linked Issues</t>
  </si>
  <si>
    <t>Created Date</t>
  </si>
  <si>
    <t>Resolved Date</t>
  </si>
  <si>
    <t>Due Date</t>
  </si>
  <si>
    <t>Количество повторов</t>
  </si>
  <si>
    <t>Сложность решения</t>
  </si>
  <si>
    <t>Тип вмешательства</t>
  </si>
  <si>
    <t>Инцидент</t>
  </si>
  <si>
    <t>ЗАЯВКА В ТЕХПОДДЕРЖКУ
1. Общие сведения:
   - Аудитория: Гл-108
   - Преподаватель: Волков Б.Б.
   - Подразделение: Кафедра безопасности информационных систем
   - Дата/время: 17.03.2024 17:27
2. Суть проблемы:
   Не могу включить проектор
3. Симптомы:
   Система зависает при определенных действиях
4. Влияние на учебный процесс:
   Проведено с ограничениями
Контакт для обратной связи: Волков Б.Б.</t>
  </si>
  <si>
    <t>Решено</t>
  </si>
  <si>
    <t>MMC v2.7</t>
  </si>
  <si>
    <t>MMC v4.1</t>
  </si>
  <si>
    <t>Волков Б.Б.</t>
  </si>
  <si>
    <t>support_team</t>
  </si>
  <si>
    <t>5h</t>
  </si>
  <si>
    <t>Телефон</t>
  </si>
  <si>
    <t>software</t>
  </si>
  <si>
    <t>Windows 7 / Intel CPU</t>
  </si>
  <si>
    <t>Низкая</t>
  </si>
  <si>
    <t>Консультация</t>
  </si>
  <si>
    <t>СООБЩЕНИЕ О ПРОБЛЕМЕ
------------------
Аудитория: Гл-210
Оборудование: Мультимедийный комплекс
Преподаватель: Кузнецов А.А.
Кафедра: Кафедра иностранных языков
ПРОБЛЕМА:
Не могу включить проектор
ВРЕМЯ ВОЗНИКНОВЕНИЯ:
25.03.2024 15:43
ДОПОЛНИТЕЛЬНАЯ ИНФОРМАЦИЯ:
Проблема возникает при каждом использовании
СТАТУС: Требуется вмешательство специалиста</t>
  </si>
  <si>
    <t>MMC v3.3</t>
  </si>
  <si>
    <t>MMC v2.5</t>
  </si>
  <si>
    <t>Кузнецов А.А.</t>
  </si>
  <si>
    <t>Смирнова О.Л.</t>
  </si>
  <si>
    <t>multimedia_dept</t>
  </si>
  <si>
    <t>2h</t>
  </si>
  <si>
    <t>3h</t>
  </si>
  <si>
    <t>Портал самообслуживания</t>
  </si>
  <si>
    <t>equipment</t>
  </si>
  <si>
    <t>Windows 10 / AMD CPU</t>
  </si>
  <si>
    <t>Высокая</t>
  </si>
  <si>
    <t>СООБЩЕНИЕ О ПРОБЛЕМЕ
------------------
Аудитория: Гл-115
Оборудование: Мультимедийный комплекс
Преподаватель: Иванов В.В.
Кафедра: Кафедра иностранных языков
ПРОБЛЕМА:
Нет изображения на экране
ВРЕМЯ ВОЗНИКНОВЕНИЯ:
15.03.2024 17:00
ДОПОЛНИТЕЛЬНАЯ ИНФОРМАЦИЯ:
Проблема возникает при каждом использовании
СТАТУС: Требуется вмешательство специалиста</t>
  </si>
  <si>
    <t>MMC v3.9</t>
  </si>
  <si>
    <t>Иванов В.В.</t>
  </si>
  <si>
    <t>Кузнецова Е.П.</t>
  </si>
  <si>
    <t>4h</t>
  </si>
  <si>
    <t>training_needed</t>
  </si>
  <si>
    <t>Windows 11 / Intel CPU</t>
  </si>
  <si>
    <t>Средняя</t>
  </si>
  <si>
    <t>На месте</t>
  </si>
  <si>
    <t>Проблема</t>
  </si>
  <si>
    <t>СООБЩЕНИЕ О ПРОБЛЕМЕ
------------------
Аудитория: Гл-211
Оборудование: Мультимедийный комплекс
Преподаватель: Смирнов В.В.
Кафедра: Кафедра инженерной графики
ПРОБЛЕМА:
Другая проблема
ВРЕМЯ ВОЗНИКНОВЕНИЯ:
17.03.2024 09:25
ДОПОЛНИТЕЛЬНАЯ ИНФОРМАЦИЯ:
Проблема возникает при каждом использовании
СТАТУС: Требуется вмешательство специалиста</t>
  </si>
  <si>
    <t>MMC v2.2</t>
  </si>
  <si>
    <t>MMC v2.9</t>
  </si>
  <si>
    <t>Смирнов В.В.</t>
  </si>
  <si>
    <t>Сидоров Д.К.</t>
  </si>
  <si>
    <t>multimedia</t>
  </si>
  <si>
    <t>Windows 8 / AMD CPU</t>
  </si>
  <si>
    <t>Запрос на обслуживание</t>
  </si>
  <si>
    <t>ЗАЯВКА В ТЕХПОДДЕРЖКУ
1. Общие сведения:
   - Аудитория: Гл-208
   - Преподаватель: Васильев А.А.
   - Подразделение: Кафедра информатики и вычислительной техники
   - Дата/время: 09.03.2024 15:54
2. Суть проблемы:
   Сложность с настройкой источников
3. Симптомы:
   Изображение/звук появляются и пропадают
4. Влияние на учебный процесс:
   Перенесено в другую аудиторию
Контакт для обратной связи: Васильев А.А.</t>
  </si>
  <si>
    <t>MMC v2.4</t>
  </si>
  <si>
    <t>MMC v4.9</t>
  </si>
  <si>
    <t>Васильев А.А.</t>
  </si>
  <si>
    <t>6h</t>
  </si>
  <si>
    <t>Проблема в драйверах. Обновлено программное обеспечение.</t>
  </si>
  <si>
    <t>Windows 9 / AMD CPU</t>
  </si>
  <si>
    <t>Удаленно</t>
  </si>
  <si>
    <t>Преподаватель: Васильев В.В.
Подразделение: Кафедра иностранных языков
Аудитория: Гл-105
Дата возникновения проблемы: 02.03.2024 15:54
Описание проблемы:
Не могу включить проектор
Предпринятые действия:
Проверил настройки ПО, проблема не решена
Контактный телефон: +7 (978) 390-84-70</t>
  </si>
  <si>
    <t>MMC v1.1</t>
  </si>
  <si>
    <t>Васильев В.В.</t>
  </si>
  <si>
    <t>Личное обращение</t>
  </si>
  <si>
    <t>Требуется замена блока питания. Оборудование снято с эксплуатации.</t>
  </si>
  <si>
    <t>urgent</t>
  </si>
  <si>
    <t>СООБЩЕНИЕ О ПРОБЛЕМЕ
------------------
Аудитория: Гл-105
Оборудование: Мультимедийный комплекс
Преподаватель: Сидоров В.В.
Кафедра: Кафедра высшей математики
ПРОБЛЕМА:
Не подключается ноутбук через HDMI
ВРЕМЯ ВОЗНИКНОВЕНИЯ:
26.03.2024 09:46
ДОПОЛНИТЕЛЬНАЯ ИНФОРМАЦИЯ:
Проблема возникает при каждом использовании
СТАТУС: Требуется вмешательство специалиста</t>
  </si>
  <si>
    <t>MMC v3.4</t>
  </si>
  <si>
    <t>Сидоров В.В.</t>
  </si>
  <si>
    <t>Проведена диагностика. Оборудование работает в штатном режиме.</t>
  </si>
  <si>
    <t>СООБЩЕНИЕ О ПРОБЛЕМЕ
------------------
Аудитория: Гл-112
Оборудование: Мультимедийный комплекс
Преподаватель: Волков А.А.
Кафедра: Кафедра органической химии
ПРОБЛЕМА:
Другая проблема
ВРЕМЯ ВОЗНИКНОВЕНИЯ:
21.03.2024 10:34
ДОПОЛНИТЕЛЬНАЯ ИНФОРМАЦИЯ:
Иногда работает нормально, иногда нет
СТАТУС: Требуется вмешательство специалиста</t>
  </si>
  <si>
    <t>MMC v3.8</t>
  </si>
  <si>
    <t>Волков А.А.</t>
  </si>
  <si>
    <t>Преподаватель: Иванов А.А.
Подразделение: Кафедра органической химии
Аудитория: Гл-207
Дата возникновения проблемы: 13.03.2024 10:23
Описание проблемы:
Нет изображения на экране
Предпринятые действия:
Проверил настройки ПО, проблема не решена
Контактный телефон: +7 (971) 467-74-18</t>
  </si>
  <si>
    <t>Иванов А.А.</t>
  </si>
  <si>
    <t>Windows 11 / AMD CPU</t>
  </si>
  <si>
    <t>Преподаватель: Федоров Б.Б.
Подразделение: Кафедра общей физики
Аудитория: Гл-112
Дата возникновения проблемы: 12.03.2024 15:51
Описание проблемы:
Не могу включить проектор
Предпринятые действия:
Попытался использовать запасные кабели, проблема сохраняется
Контактный телефон: +7 (913) 237-05-89</t>
  </si>
  <si>
    <t>MMC v3.7</t>
  </si>
  <si>
    <t>MMC v4.6</t>
  </si>
  <si>
    <t>Федоров Б.Б.</t>
  </si>
  <si>
    <t>Петрова М.В.</t>
  </si>
  <si>
    <t>Email</t>
  </si>
  <si>
    <t>СООБЩЕНИЕ О ПРОБЛЕМЕ
------------------
Аудитория: Гл-111
Оборудование: Мультимедийный комплекс
Преподаватель: Федоров А.А.
Кафедра: Кафедра истории России
ПРОБЛЕМА:
Не запускается мультимедийное ПО
ВРЕМЯ ВОЗНИКНОВЕНИЯ:
07.03.2024 18:44
ДОПОЛНИТЕЛЬНАЯ ИНФОРМАЦИЯ:
Иногда работает нормально, иногда нет
СТАТУС: Требуется вмешательство специалиста</t>
  </si>
  <si>
    <t>MMC v1.6</t>
  </si>
  <si>
    <t>Федоров А.А.</t>
  </si>
  <si>
    <t>1h</t>
  </si>
  <si>
    <t>Проблема решена удаленно через систему управления.</t>
  </si>
  <si>
    <t>hardware</t>
  </si>
  <si>
    <t>Windows 7 / AMD CPU</t>
  </si>
  <si>
    <t>Преподаватель: Федоров А.А.
Подразделение: Кафедра органической химии
Аудитория: Гл-202
Дата возникновения проблемы: 03.03.2024 09:03
Описание проблемы:
Не могу включить проектор
Предпринятые действия:
Попытался использовать запасные кабели, проблема сохраняется
Контактный телефон: +7 (938) 612-07-50</t>
  </si>
  <si>
    <t>Требуется настройка проектора. Выполнена калибровка.</t>
  </si>
  <si>
    <t>СООБЩЕНИЕ О ПРОБЛЕМЕ
------------------
Аудитория: Гл-207
Оборудование: Мультимедийный комплекс
Преподаватель: Иванов А.А.
Кафедра: Кафедра иностранных языков
ПРОБЛЕМА:
Проблема с переключением режимов
ВРЕМЯ ВОЗНИКНОВЕНИЯ:
03.03.2024 08:16
ДОПОЛНИТЕЛЬНАЯ ИНФОРМАЦИЯ:
Проблема возникает при каждом использовании
СТАТУС: Требуется вмешательство специалиста</t>
  </si>
  <si>
    <t>ЗАЯВКА В ТЕХПОДДЕРЖКУ
1. Общие сведения:
   - Аудитория: Гл-206
   - Преподаватель: Смирнов В.В.
   - Подразделение: Кафедра истории России
   - Дата/время: 27.03.2024 11:54
2. Суть проблемы:
   Не подключается ноутбук через HDMI
3. Симптомы:
   Посторонние шумы в акустике
4. Влияние на учебный процесс:
   Перенесено в другую аудиторию
Контакт для обратной связи: Смирнов В.В.</t>
  </si>
  <si>
    <t>MMC v1.3</t>
  </si>
  <si>
    <t>MMC v1.5</t>
  </si>
  <si>
    <t>Windows 10 / Intel CPU</t>
  </si>
  <si>
    <t>ЗАЯВКА В ТЕХПОДДЕРЖКУ
1. Общие сведения:
   - Аудитория: Гл-207
   - Преподаватель: Морозов Б.Б.
   - Подразделение: Кафедра истории России
   - Дата/время: 09.03.2024 10:01
2. Суть проблемы:
   Сложность с настройкой источников
3. Симптомы:
   Оборудование не реагирует на команды
4. Влияние на учебный процесс:
   Перенесено в другую аудиторию
Контакт для обратной связи: Морозов Б.Б.</t>
  </si>
  <si>
    <t>MMC v3.5</t>
  </si>
  <si>
    <t>Морозов Б.Б.</t>
  </si>
  <si>
    <t>Windows 8 / Intel CPU</t>
  </si>
  <si>
    <t>ЗАЯВКА В ТЕХПОДДЕРЖКУ
1. Общие сведения:
   - Аудитория: Гл-215
   - Преподаватель: Сидоров В.В.
   - Подразделение: Кафедра иностранных языков
   - Дата/время: 22.03.2024 11:30
2. Суть проблемы:
   Не могу включить проектор
3. Симптомы:
   Изображение/звук появляются и пропадают
4. Влияние на учебный процесс:
   Занятие отменено
Контакт для обратной связи: Сидоров В.В.</t>
  </si>
  <si>
    <t>MMC v4.2</t>
  </si>
  <si>
    <t>СООБЩЕНИЕ О ПРОБЛЕМЕ
------------------
Аудитория: Гл-201
Оборудование: Мультимедийный комплекс
Преподаватель: Попов А.А.
Кафедра: Кафедра общей физики
ПРОБЛЕМА:
Не могу включить проектор
ВРЕМЯ ВОЗНИКНОВЕНИЯ:
15.03.2024 17:30
ДОПОЛНИТЕЛЬНАЯ ИНФОРМАЦИЯ:
Иногда работает нормально, иногда нет
СТАТУС: Требуется вмешательство специалиста</t>
  </si>
  <si>
    <t>MMC v1.9</t>
  </si>
  <si>
    <t>Попов А.А.</t>
  </si>
  <si>
    <t>Васильев И.Н.</t>
  </si>
  <si>
    <t>Преподаватель: Иванов Б.Б.
Подразделение: Кафедра информатики и вычислительной техники
Аудитория: Гл-110
Дата возникновения проблемы: 06.03.2024 12:05
Описание проблемы:
Не подключается ноутбук через HDMI
Предпринятые действия:
Переключил источники сигнала, безрезультатно
Контактный телефон: +7 (912) 770-63-24</t>
  </si>
  <si>
    <t>MMC v1.0</t>
  </si>
  <si>
    <t>MMC v4.4</t>
  </si>
  <si>
    <t>Иванов Б.Б.</t>
  </si>
  <si>
    <t>СООБЩЕНИЕ О ПРОБЛЕМЕ
------------------
Аудитория: Гл-212
Оборудование: Мультимедийный комплекс
Преподаватель: Васильев В.В.
Кафедра: Кафедра иностранных языков
ПРОБЛЕМА:
Сложность с настройкой источников
ВРЕМЯ ВОЗНИКНОВЕНИЯ:
07.03.2024 17:36
ДОПОЛНИТЕЛЬНАЯ ИНФОРМАЦИЯ:
Проблема появилась после обновления ПО
СТАТУС: Требуется вмешательство специалиста</t>
  </si>
  <si>
    <t>Федорова Т.С.</t>
  </si>
  <si>
    <t>СООБЩЕНИЕ О ПРОБЛЕМЕ
------------------
Аудитория: Гл-103
Оборудование: Мультимедийный комплекс
Преподаватель: Федоров В.В.
Кафедра: Кафедра философии и социологии
ПРОБЛЕМА:
Другая проблема
ВРЕМЯ ВОЗНИКНОВЕНИЯ:
26.03.2024 15:57
ДОПОЛНИТЕЛЬНАЯ ИНФОРМАЦИЯ:
Проблема появилась после обновления ПО
СТАТУС: Требуется вмешательство специалиста</t>
  </si>
  <si>
    <t>Федоров В.В.</t>
  </si>
  <si>
    <t>MMC-0918</t>
  </si>
  <si>
    <t>ЗАЯВКА В ТЕХПОДДЕРЖКУ
1. Общие сведения:
   - Аудитория: Гл-202
   - Преподаватель: Смирнов Б.Б.
   - Подразделение: Кафедра высшей математики
   - Дата/время: 23.03.2024 16:27
2. Суть проблемы:
   Сложность с настройкой источников
3. Симптомы:
   Посторонние шумы в акустике
4. Влияние на учебный процесс:
   Перенесено в другую аудиторию
Контакт для обратной связи: Смирнов Б.Б.</t>
  </si>
  <si>
    <t>Смирнов Б.Б.</t>
  </si>
  <si>
    <t>Преподаватель: Волков Б.Б.
Подразделение: Кафедра информатики и вычислительной техники
Аудитория: Гл-105
Дата возникновения проблемы: 15.03.2024 11:34
Описание проблемы:
Не запускается мультимедийное ПО
Предпринятые действия:
Попытался использовать запасные кабели, проблема сохраняется
Контактный телефон: +7 (919) 079-03-06</t>
  </si>
  <si>
    <t>Настроены параметры отображения. Проблема устранена.</t>
  </si>
  <si>
    <t>Преподаватель: Сидоров А.А.
Подразделение: Кафедра экономики и менеджмента
Аудитория: Гл-104
Дата возникновения проблемы: 06.03.2024 17:16
Описание проблемы:
Не могу включить проектор
Предпринятые действия:
Проверил подключение питания, перезагрузил оборудование
Контактный телефон: +7 (945) 868-50-14</t>
  </si>
  <si>
    <t>Сидоров А.А.</t>
  </si>
  <si>
    <t>ЗАЯВКА В ТЕХПОДДЕРЖКУ
1. Общие сведения:
   - Аудитория: Гл-203
   - Преподаватель: Федоров А.А.
   - Подразделение: Кафедра истории России
   - Дата/время: 16.03.2024 11:38
2. Суть проблемы:
   Сложность с настройкой источников
3. Симптомы:
   Изображение/звук появляются и пропадают
4. Влияние на учебный процесс:
   Перенесено в другую аудиторию
Контакт для обратной связи: Федоров А.А.</t>
  </si>
  <si>
    <t>MMC-0999</t>
  </si>
  <si>
    <t>ЗАЯВКА В ТЕХПОДДЕРЖКУ
1. Общие сведения:
   - Аудитория: Гл-105
   - Преподаватель: Иванов Б.Б.
   - Подразделение: Кафедра информатики и вычислительной техники
   - Дата/время: 11.03.2024 10:03
2. Суть проблемы:
   Не могу включить проектор
3. Симптомы:
   Оборудование не реагирует на команды
4. Влияние на учебный процесс:
   Занятие отменено
Контакт для обратной связи: Иванов Б.Б.</t>
  </si>
  <si>
    <t>MMC v3.0</t>
  </si>
  <si>
    <t>СООБЩЕНИЕ О ПРОБЛЕМЕ
------------------
Аудитория: Гл-115
Оборудование: Мультимедийный комплекс
Преподаватель: Кузнецов Б.Б.
Кафедра: Кафедра экономики и менеджмента
ПРОБЛЕМА:
Не запускается мультимедийное ПО
ВРЕМЯ ВОЗНИКНОВЕНИЯ:
26.03.2024 10:35
ДОПОЛНИТЕЛЬНАЯ ИНФОРМАЦИЯ:
Проблема появилась после обновления ПО
СТАТУС: Требуется вмешательство специалиста</t>
  </si>
  <si>
    <t>MMC v2.0</t>
  </si>
  <si>
    <t>Кузнецов Б.Б.</t>
  </si>
  <si>
    <t>Временное решение применено. Заказана запасная часть.</t>
  </si>
  <si>
    <t>Windows 9 / Intel CPU</t>
  </si>
  <si>
    <t>ЗАЯВКА В ТЕХПОДДЕРЖКУ
1. Общие сведения:
   - Аудитория: Гл-103
   - Преподаватель: Васильев А.А.
   - Подразделение: Кафедра иностранных языков
   - Дата/время: 13.03.2024 14:38
2. Суть проблемы:
   Требуется инструкция по использованию
3. Симптомы:
   Оборудование не реагирует на команды
4. Влияние на учебный процесс:
   Занятие отменено
Контакт для обратной связи: Васильев А.А.</t>
  </si>
  <si>
    <t>MMC v1.4</t>
  </si>
  <si>
    <t>Выявлена аппаратная неисправность. Запланирован ремонт.</t>
  </si>
  <si>
    <t>ЗАЯВКА В ТЕХПОДДЕРЖКУ
1. Общие сведения:
   - Аудитория: Гл-115
   - Преподаватель: Морозов А.А.
   - Подразделение: Кафедра инженерной графики
   - Дата/время: 25.03.2024 13:58
2. Суть проблемы:
   Нет звука в аудиосистеме
3. Симптомы:
   Система зависает при определенных действиях
4. Влияние на учебный процесс:
   Проведено с ограничениями
Контакт для обратной связи: Морозов А.А.</t>
  </si>
  <si>
    <t>MMC v3.2</t>
  </si>
  <si>
    <t>Морозов А.А.</t>
  </si>
  <si>
    <t>ЗАЯВКА В ТЕХПОДДЕРЖКУ
1. Общие сведения:
   - Аудитория: Гл-107
   - Преподаватель: Волков А.А.
   - Подразделение: Кафедра иностранных языков
   - Дата/время: 21.03.2024 18:38
2. Суть проблемы:
   Другая проблема
3. Симптомы:
   Система зависает при определенных действиях
4. Влияние на учебный процесс:
   Занятие проведено без мультимедийного оборудования
Контакт для обратной связи: Волков А.А.</t>
  </si>
  <si>
    <t>ЗАЯВКА В ТЕХПОДДЕРЖКУ
1. Общие сведения:
   - Аудитория: Гл-104
   - Преподаватель: Петров В.В.
   - Подразделение: Кафедра информатики и вычислительной техники
   - Дата/время: 22.03.2024 11:59
2. Суть проблемы:
   Нет звука в аудиосистеме
3. Симптомы:
   Посторонние шумы в акустике
4. Влияние на учебный процесс:
   Занятие отменено
Контакт для обратной связи: Петров В.В.</t>
  </si>
  <si>
    <t>Петров В.В.</t>
  </si>
  <si>
    <t>Преподаватель: Волков Б.Б.
Подразделение: Кафедра безопасности информационных систем
Аудитория: Гл-104
Дата возникновения проблемы: 15.03.2024 08:43
Описание проблемы:
Не запускается мультимедийное ПО
Предпринятые действия:
Проверил подключение питания, перезагрузил оборудование
Контактный телефон: +7 (976) 311-65-66</t>
  </si>
  <si>
    <t>Преподаватель: Смирнов Б.Б.
Подразделение: Кафедра инженерной графики
Аудитория: Гл-103
Дата возникновения проблемы: 19.03.2024 17:09
Описание проблемы:
Нет изображения на экране
Предпринятые действия:
Попытался использовать запасные кабели, проблема сохраняется
Контактный телефон: +7 (984) 249-81-82</t>
  </si>
  <si>
    <t>Иванов А.С.</t>
  </si>
  <si>
    <t>Преподаватель: Кузнецов Б.Б.
Подразделение: Кафедра экономики и менеджмента
Аудитория: Гл-209
Дата возникновения проблемы: 15.03.2024 12:13
Описание проблемы:
Другая проблема
Предпринятые действия:
Попытался использовать запасные кабели, проблема сохраняется
Контактный телефон: +7 (952) 175-25-00</t>
  </si>
  <si>
    <t>MMC v3.6</t>
  </si>
  <si>
    <t>Попов Р.М.</t>
  </si>
  <si>
    <t>ЗАЯВКА В ТЕХПОДДЕРЖКУ
1. Общие сведения:
   - Аудитория: Гл-102
   - Преподаватель: Иванов В.В.
   - Подразделение: Кафедра высшей математики
   - Дата/время: 20.03.2024 15:32
2. Суть проблемы:
   Требуется инструкция по использованию
3. Симптомы:
   Посторонние шумы в акустике
4. Влияние на учебный процесс:
   Занятие отменено
Контакт для обратной связи: Иванов В.В.</t>
  </si>
  <si>
    <t>MMC v3.1</t>
  </si>
  <si>
    <t>СООБЩЕНИЕ О ПРОБЛЕМЕ
------------------
Аудитория: Гл-103
Оборудование: Мультимедийный комплекс
Преподаватель: Петров А.А.
Кафедра: Кафедра общей физики
ПРОБЛЕМА:
Не подключается ноутбук через HDMI
ВРЕМЯ ВОЗНИКНОВЕНИЯ:
19.03.2024 18:17
ДОПОЛНИТЕЛЬНАЯ ИНФОРМАЦИЯ:
Ранее подобных проблем не наблюдалось
СТАТУС: Требуется вмешательство специалиста</t>
  </si>
  <si>
    <t>MMC v2.8</t>
  </si>
  <si>
    <t>Петров А.А.</t>
  </si>
  <si>
    <t>MMC-0963</t>
  </si>
  <si>
    <t>СООБЩЕНИЕ О ПРОБЛЕМЕ
------------------
Аудитория: Гл-104
Оборудование: Мультимедийный комплекс
Преподаватель: Волков А.А.
Кафедра: Кафедра иностранных языков
ПРОБЛЕМА:
Не запускается мультимедийное ПО
ВРЕМЯ ВОЗНИКНОВЕНИЯ:
08.03.2024 10:06
ДОПОЛНИТЕЛЬНАЯ ИНФОРМАЦИЯ:
Проблема появилась после обновления ПО
СТАТУС: Требуется вмешательство специалиста</t>
  </si>
  <si>
    <t>Оборудование исправно. Проведен инструктаж пользователя.</t>
  </si>
  <si>
    <t>ЗАЯВКА В ТЕХПОДДЕРЖКУ
1. Общие сведения:
   - Аудитория: Гл-109
   - Преподаватель: Смирнов В.В.
   - Подразделение: Кафедра иностранных языков
   - Дата/время: 10.03.2024 12:45
2. Суть проблемы:
   Нет звука в аудиосистеме
3. Симптомы:
   Система зависает при определенных действиях
4. Влияние на учебный процесс:
   Проведено с ограничениями
Контакт для обратной связи: Смирнов В.В.</t>
  </si>
  <si>
    <t>ЗАЯВКА В ТЕХПОДДЕРЖКУ
1. Общие сведения:
   - Аудитория: Гл-207
   - Преподаватель: Смирнов В.В.
   - Подразделение: Кафедра экономики и менеджмента
   - Дата/время: 18.03.2024 16:30
2. Суть проблемы:
   Нет звука в аудиосистеме
3. Симптомы:
   Система зависает при определенных действиях
4. Влияние на учебный процесс:
   Проведено с ограничениями
Контакт для обратной связи: Смирнов В.В.</t>
  </si>
  <si>
    <t>СООБЩЕНИЕ О ПРОБЛЕМЕ
------------------
Аудитория: Гл-209
Оборудование: Мультимедийный комплекс
Преподаватель: Смирнов Б.Б.
Кафедра: Кафедра высшей математики
ПРОБЛЕМА:
Другая проблема
ВРЕМЯ ВОЗНИКНОВЕНИЯ:
12.03.2024 12:13
ДОПОЛНИТЕЛЬНАЯ ИНФОРМАЦИЯ:
Проблема возникает при каждом использовании
СТАТУС: Требуется вмешательство специалиста</t>
  </si>
  <si>
    <t>Преподаватель: Морозов В.В.
Подразделение: Кафедра высшей математики
Аудитория: Гл-102
Дата возникновения проблемы: 16.03.2024 14:41
Описание проблемы:
Нет изображения на экране
Предпринятые действия:
Переключил источники сигнала, безрезультатно
Контактный телефон: +7 (966) 687-00-21</t>
  </si>
  <si>
    <t>Морозов В.В.</t>
  </si>
  <si>
    <t>СООБЩЕНИЕ О ПРОБЛЕМЕ
------------------
Аудитория: Гл-109
Оборудование: Мультимедийный комплекс
Преподаватель: Сидоров В.В.
Кафедра: Кафедра истории России
ПРОБЛЕМА:
Не могу включить проектор
ВРЕМЯ ВОЗНИКНОВЕНИЯ:
18.03.2024 14:05
ДОПОЛНИТЕЛЬНАЯ ИНФОРМАЦИЯ:
Проблема возникает при каждом использовании
СТАТУС: Требуется вмешательство специалиста</t>
  </si>
  <si>
    <t>MMC-0936</t>
  </si>
  <si>
    <t>Преподаватель: Смирнов В.В.
Подразделение: Кафедра философии и социологии
Аудитория: Гл-104
Дата возникновения проблемы: 10.03.2024 14:54
Описание проблемы:
Нет изображения на экране
Предпринятые действия:
Проверил настройки ПО, проблема не решена
Контактный телефон: +7 (966) 909-67-05</t>
  </si>
  <si>
    <t>СООБЩЕНИЕ О ПРОБЛЕМЕ
------------------
Аудитория: Гл-105
Оборудование: Мультимедийный комплекс
Преподаватель: Сидоров В.В.
Кафедра: Кафедра экономики и менеджмента
ПРОБЛЕМА:
Требуется инструкция по использованию
ВРЕМЯ ВОЗНИКНОВЕНИЯ:
07.03.2024 08:39
ДОПОЛНИТЕЛЬНАЯ ИНФОРМАЦИЯ:
Иногда работает нормально, иногда нет
СТАТУС: Требуется вмешательство специалиста</t>
  </si>
  <si>
    <t>MMC v1.7</t>
  </si>
  <si>
    <t>СООБЩЕНИЕ О ПРОБЛЕМЕ
------------------
Аудитория: Гл-212
Оборудование: Мультимедийный комплекс
Преподаватель: Иванов Б.Б.
Кафедра: Кафедра общей физики
ПРОБЛЕМА:
Другая проблема
ВРЕМЯ ВОЗНИКНОВЕНИЯ:
23.03.2024 11:39
ДОПОЛНИТЕЛЬНАЯ ИНФОРМАЦИЯ:
Проблема возникает при каждом использовании
СТАТУС: Требуется вмешательство специалиста</t>
  </si>
  <si>
    <t>MMC v4.5</t>
  </si>
  <si>
    <t>MMC-0935</t>
  </si>
  <si>
    <t>ЗАЯВКА В ТЕХПОДДЕРЖКУ
1. Общие сведения:
   - Аудитория: Гл-111
   - Преподаватель: Смирнов В.В.
   - Подразделение: Кафедра высшей математики
   - Дата/время: 18.03.2024 13:58
2. Суть проблемы:
   Не могу включить проектор
3. Симптомы:
   Посторонние шумы в акустике
4. Влияние на учебный процесс:
   Перенесено в другую аудиторию
Контакт для обратной связи: Смирнов В.В.</t>
  </si>
  <si>
    <t>ЗАЯВКА В ТЕХПОДДЕРЖКУ
1. Общие сведения:
   - Аудитория: Гл-202
   - Преподаватель: Кузнецов А.А.
   - Подразделение: Кафедра философии и социологии
   - Дата/время: 26.03.2024 14:01
2. Суть проблемы:
   Не могу включить проектор
3. Симптомы:
   Изображение/звук появляются и пропадают
4. Влияние на учебный процесс:
   Занятие проведено без мультимедийного оборудования
Контакт для обратной связи: Кузнецов А.А.</t>
  </si>
  <si>
    <t>Проверил оборудование. Замена кабеля HDMI решает проблему.</t>
  </si>
  <si>
    <t>Преподаватель: Федоров А.А.
Подразделение: Кафедра инженерной графики
Аудитория: Гл-110
Дата возникновения проблемы: 17.03.2024 14:26
Описание проблемы:
Не могу включить проектор
Предпринятые действия:
Попытался использовать запасные кабели, проблема сохраняется
Контактный телефон: +7 (925) 134-12-52</t>
  </si>
  <si>
    <t>ЗАЯВКА В ТЕХПОДДЕРЖКУ
1. Общие сведения:
   - Аудитория: Гл-104
   - Преподаватель: Морозов В.В.
   - Подразделение: Кафедра экономики и менеджмента
   - Дата/время: 20.03.2024 12:43
2. Суть проблемы:
   Не могу включить проектор
3. Симптомы:
   Оборудование не реагирует на команды
4. Влияние на учебный процесс:
   Перенесено в другую аудиторию
Контакт для обратной связи: Морозов В.В.</t>
  </si>
  <si>
    <t>MMC v2.1</t>
  </si>
  <si>
    <t>MMC-0959</t>
  </si>
  <si>
    <t>СООБЩЕНИЕ О ПРОБЛЕМЕ
------------------
Аудитория: Гл-103
Оборудование: Мультимедийный комплекс
Преподаватель: Смирнов Б.Б.
Кафедра: Кафедра истории России
ПРОБЛЕМА:
Нет звука в аудиосистеме
ВРЕМЯ ВОЗНИКНОВЕНИЯ:
20.03.2024 15:16
ДОПОЛНИТЕЛЬНАЯ ИНФОРМАЦИЯ:
Проблема возникает при каждом использовании
СТАТУС: Требуется вмешательство специалиста</t>
  </si>
  <si>
    <t>MMC v2.3</t>
  </si>
  <si>
    <t>MMC-0994</t>
  </si>
  <si>
    <t>СООБЩЕНИЕ О ПРОБЛЕМЕ
------------------
Аудитория: Гл-207
Оборудование: Мультимедийный комплекс
Преподаватель: Васильев А.А.
Кафедра: Кафедра истории России
ПРОБЛЕМА:
Нет изображения на экране
ВРЕМЯ ВОЗНИКНОВЕНИЯ:
20.03.2024 14:34
ДОПОЛНИТЕЛЬНАЯ ИНФОРМАЦИЯ:
Проблема появилась после обновления ПО
СТАТУС: Требуется вмешательство специалиста</t>
  </si>
  <si>
    <t>ЗАЯВКА В ТЕХПОДДЕРЖКУ
1. Общие сведения:
   - Аудитория: Гл-215
   - Преподаватель: Иванов А.А.
   - Подразделение: Кафедра иностранных языков
   - Дата/время: 23.03.2024 12:05
2. Суть проблемы:
   Сложность с настройкой источников
3. Симптомы:
   Посторонние шумы в акустике
4. Влияние на учебный процесс:
   Перенесено в другую аудиторию
Контакт для обратной связи: Иванов А.А.</t>
  </si>
  <si>
    <t>MMC v1.8</t>
  </si>
  <si>
    <t>СООБЩЕНИЕ О ПРОБЛЕМЕ
------------------
Аудитория: Гл-109
Оборудование: Мультимедийный комплекс
Преподаватель: Попов Б.Б.
Кафедра: Кафедра иностранных языков
ПРОБЛЕМА:
Не могу включить проектор
ВРЕМЯ ВОЗНИКНОВЕНИЯ:
06.03.2024 10:17
ДОПОЛНИТЕЛЬНАЯ ИНФОРМАЦИЯ:
Проблема появилась после обновления ПО
СТАТУС: Требуется вмешательство специалиста</t>
  </si>
  <si>
    <t>MMC v2.6</t>
  </si>
  <si>
    <t>Попов Б.Б.</t>
  </si>
  <si>
    <t>Преподаватель: Волков А.А.
Подразделение: Кафедра инженерной графики
Аудитория: Гл-102
Дата возникновения проблемы: 12.03.2024 18:52
Описание проблемы:
Не могу включить проектор
Предпринятые действия:
Попытался использовать запасные кабели, проблема сохраняется
Контактный телефон: +7 (952) 181-88-35</t>
  </si>
  <si>
    <t>MMC v1.2</t>
  </si>
  <si>
    <t>ЗАЯВКА В ТЕХПОДДЕРЖКУ
1. Общие сведения:
   - Аудитория: Гл-106
   - Преподаватель: Кузнецов А.А.
   - Подразделение: Кафедра информатики и вычислительной техники
   - Дата/время: 04.03.2024 08:31
2. Суть проблемы:
   Нет звука в аудиосистеме
3. Симптомы:
   Изображение/звук появляются и пропадают
4. Влияние на учебный процесс:
   Проведено с ограничениями
Контакт для обратной связи: Кузнецов А.А.</t>
  </si>
  <si>
    <t>Преподаватель: Кузнецов А.А.
Подразделение: Кафедра информатики и вычислительной техники
Аудитория: Гл-102
Дата возникновения проблемы: 22.03.2024 10:10
Описание проблемы:
Не могу включить проектор
Предпринятые действия:
Попытался использовать запасные кабели, проблема сохраняется
Контактный телефон: +7 (945) 562-38-69</t>
  </si>
  <si>
    <t>ЗАЯВКА В ТЕХПОДДЕРЖКУ
1. Общие сведения:
   - Аудитория: Гл-111
   - Преподаватель: Федоров А.А.
   - Подразделение: Кафедра экономики и менеджмента
   - Дата/время: 26.03.2024 17:38
2. Суть проблемы:
   Не могу включить проектор
3. Симптомы:
   Посторонние шумы в акустике
4. Влияние на учебный процесс:
   Проведено с ограничениями
Контакт для обратной связи: Федоров А.А.</t>
  </si>
  <si>
    <t>ЗАЯВКА В ТЕХПОДДЕРЖКУ
1. Общие сведения:
   - Аудитория: Гл-115
   - Преподаватель: Морозов В.В.
   - Подразделение: Кафедра безопасности информационных систем
   - Дата/время: 19.03.2024 14:40
2. Суть проблемы:
   Другая проблема
3. Симптомы:
   Посторонние шумы в акустике
4. Влияние на учебный процесс:
   Перенесено в другую аудиторию
Контакт для обратной связи: Морозов В.В.</t>
  </si>
  <si>
    <t>СООБЩЕНИЕ О ПРОБЛЕМЕ
------------------
Аудитория: Гл-103
Оборудование: Мультимедийный комплекс
Преподаватель: Петров В.В.
Кафедра: Кафедра экономики и менеджмента
ПРОБЛЕМА:
Другая проблема
ВРЕМЯ ВОЗНИКНОВЕНИЯ:
02.03.2024 17:47
ДОПОЛНИТЕЛЬНАЯ ИНФОРМАЦИЯ:
Проблема появилась после обновления ПО
СТАТУС: Требуется вмешательство специалиста</t>
  </si>
  <si>
    <t>Преподаватель: Федоров Б.Б.
Подразделение: Кафедра органической химии
Аудитория: Гл-106
Дата возникновения проблемы: 27.03.2024 14:23
Описание проблемы:
Не подключается ноутбук через HDMI
Предпринятые действия:
Проверил подключение питания, перезагрузил оборудование
Контактный телефон: +7 (965) 479-35-64</t>
  </si>
  <si>
    <t>СООБЩЕНИЕ О ПРОБЛЕМЕ
------------------
Аудитория: Гл-204
Оборудование: Мультимедийный комплекс
Преподаватель: Иванов Б.Б.
Кафедра: Кафедра инженерной графики
ПРОБЛЕМА:
Нет изображения на экране
ВРЕМЯ ВОЗНИКНОВЕНИЯ:
20.03.2024 12:56
ДОПОЛНИТЕЛЬНАЯ ИНФОРМАЦИЯ:
Проблема появилась после обновления ПО
СТАТУС: Требуется вмешательство специалиста</t>
  </si>
  <si>
    <t>MMC v4.7</t>
  </si>
  <si>
    <t>СООБЩЕНИЕ О ПРОБЛЕМЕ
------------------
Аудитория: Гл-203
Оборудование: Мультимедийный комплекс
Преподаватель: Кузнецов Б.Б.
Кафедра: Кафедра иностранных языков
ПРОБЛЕМА:
Нет изображения на экране
ВРЕМЯ ВОЗНИКНОВЕНИЯ:
12.03.2024 11:40
ДОПОЛНИТЕЛЬНАЯ ИНФОРМАЦИЯ:
Ранее подобных проблем не наблюдалось
СТАТУС: Требуется вмешательство специалиста</t>
  </si>
  <si>
    <t>ЗАЯВКА В ТЕХПОДДЕРЖКУ
1. Общие сведения:
   - Аудитория: Гл-106
   - Преподаватель: Иванов Б.Б.
   - Подразделение: Кафедра высшей математики
   - Дата/время: 14.03.2024 15:14
2. Суть проблемы:
   Не могу включить проектор
3. Симптомы:
   Изображение/звук появляются и пропадают
4. Влияние на учебный процесс:
   Проведено с ограничениями
Контакт для обратной связи: Иванов Б.Б.</t>
  </si>
  <si>
    <t>ЗАЯВКА В ТЕХПОДДЕРЖКУ
1. Общие сведения:
   - Аудитория: Гл-109
   - Преподаватель: Кузнецов Б.Б.
   - Подразделение: Кафедра органической химии
   - Дата/время: 16.03.2024 08:08
2. Суть проблемы:
   Нет звука в аудиосистеме
3. Симптомы:
   Посторонние шумы в акустике
4. Влияние на учебный процесс:
   Занятие отменено
Контакт для обратной связи: Кузнецов Б.Б.</t>
  </si>
  <si>
    <t>MMC-0904</t>
  </si>
  <si>
    <t>Преподаватель: Иванов Б.Б.
Подразделение: Кафедра истории России
Аудитория: Гл-201
Дата возникновения проблемы: 17.03.2024 18:57
Описание проблемы:
Другая проблема
Предпринятые действия:
Проверил подключение питания, перезагрузил оборудование
Контактный телефон: +7 (953) 654-19-51</t>
  </si>
  <si>
    <t>Преподаватель: Волков А.А.
Подразделение: Кафедра высшей математики
Аудитория: Гл-107
Дата возникновения проблемы: 22.03.2024 16:35
Описание проблемы:
Требуется инструкция по использованию
Предпринятые действия:
Переключил источники сигнала, безрезультатно
Контактный телефон: +7 (987) 083-17-27</t>
  </si>
  <si>
    <t>Преподаватель: Морозов Б.Б.
Подразделение: Кафедра истории России
Аудитория: Гл-109
Дата возникновения проблемы: 04.03.2024 08:06
Описание проблемы:
Не запускается мультимедийное ПО
Предпринятые действия:
Переключил источники сигнала, безрезультатно
Контактный телефон: +7 (935) 290-96-56</t>
  </si>
  <si>
    <t>Преподаватель: Сидоров Б.Б.
Подразделение: Кафедра общей физики
Аудитория: Гл-206
Дата возникновения проблемы: 06.03.2024 09:35
Описание проблемы:
Сложность с настройкой источников
Предпринятые действия:
Проверил подключение питания, перезагрузил оборудование
Контактный телефон: +7 (940) 541-15-26</t>
  </si>
  <si>
    <t>Сидоров Б.Б.</t>
  </si>
  <si>
    <t>ЗАЯВКА В ТЕХПОДДЕРЖКУ
1. Общие сведения:
   - Аудитория: Гл-101
   - Преподаватель: Морозов В.В.
   - Подразделение: Кафедра информатики и вычислительной техники
   - Дата/время: 02.03.2024 12:26
2. Суть проблемы:
   Нет изображения на экране
3. Симптомы:
   Посторонние шумы в акустике
4. Влияние на учебный процесс:
   Перенесено в другую аудиторию
Контакт для обратной связи: Морозов В.В.</t>
  </si>
  <si>
    <t>Преподаватель: Волков В.В.
Подразделение: Кафедра безопасности информационных систем
Аудитория: Гл-102
Дата возникновения проблемы: 18.03.2024 14:41
Описание проблемы:
Не подключается ноутбук через HDMI
Предпринятые действия:
Переключил источники сигнала, безрезультатно
Контактный телефон: +7 (992) 546-29-14</t>
  </si>
  <si>
    <t>Волков В.В.</t>
  </si>
  <si>
    <t>ЗАЯВКА В ТЕХПОДДЕРЖКУ
1. Общие сведения:
   - Аудитория: Гл-102
   - Преподаватель: Смирнов В.В.
   - Подразделение: Кафедра инженерной графики
   - Дата/время: 18.03.2024 08:48
2. Суть проблемы:
   Нет изображения на экране
3. Симптомы:
   Посторонние шумы в акустике
4. Влияние на учебный процесс:
   Занятие отменено
Контакт для обратной связи: Смирнов В.В.</t>
  </si>
  <si>
    <t>MMC-0972</t>
  </si>
  <si>
    <t>Преподаватель: Федоров В.В.
Подразделение: Кафедра экономики и менеджмента
Аудитория: Гл-115
Дата возникновения проблемы: 10.03.2024 18:37
Описание проблемы:
Не могу включить проектор
Предпринятые действия:
Переключил источники сигнала, безрезультатно
Контактный телефон: +7 (977) 701-43-63</t>
  </si>
  <si>
    <t>ЗАЯВКА В ТЕХПОДДЕРЖКУ
1. Общие сведения:
   - Аудитория: Гл-101
   - Преподаватель: Смирнов Б.Б.
   - Подразделение: Кафедра иностранных языков
   - Дата/время: 09.03.2024 08:22
2. Суть проблемы:
   Не подключается ноутбук через HDMI
3. Симптомы:
   Изображение/звук появляются и пропадают
4. Влияние на учебный процесс:
   Занятие отменено
Контакт для обратной связи: Смирнов Б.Б.</t>
  </si>
  <si>
    <t>MMC-0940</t>
  </si>
  <si>
    <t>ЗАЯВКА В ТЕХПОДДЕРЖКУ
1. Общие сведения:
   - Аудитория: Гл-114
   - Преподаватель: Попов В.В.
   - Подразделение: Кафедра иностранных языков
   - Дата/время: 05.03.2024 16:23
2. Суть проблемы:
   Не могу включить проектор
3. Симптомы:
   Система зависает при определенных действиях
4. Влияние на учебный процесс:
   Занятие проведено без мультимедийного оборудования
Контакт для обратной связи: Попов В.В.</t>
  </si>
  <si>
    <t>MMC v4.8</t>
  </si>
  <si>
    <t>Попов В.В.</t>
  </si>
  <si>
    <t>ЗАЯВКА В ТЕХПОДДЕРЖКУ
1. Общие сведения:
   - Аудитория: Гл-211
   - Преподаватель: Смирнов А.А.
   - Подразделение: Кафедра философии и социологии
   - Дата/время: 01.03.2024 13:15
2. Суть проблемы:
   Нет изображения на экране
3. Симптомы:
   Система зависает при определенных действиях
4. Влияние на учебный процесс:
   Перенесено в другую аудиторию
Контакт для обратной связи: Смирнов А.А.</t>
  </si>
  <si>
    <t>Смирнов А.А.</t>
  </si>
  <si>
    <t>ЗАЯВКА В ТЕХПОДДЕРЖКУ
1. Общие сведения:
   - Аудитория: Гл-102
   - Преподаватель: Попов В.В.
   - Подразделение: Кафедра инженерной графики
   - Дата/время: 19.03.2024 16:09
2. Суть проблемы:
   Не запускается мультимедийное ПО
3. Симптомы:
   Оборудование не реагирует на команды
4. Влияние на учебный процесс:
   Перенесено в другую аудиторию
Контакт для обратной связи: Попов В.В.</t>
  </si>
  <si>
    <t>Преподаватель: Сидоров В.В.
Подразделение: Кафедра органической химии
Аудитория: Гл-108
Дата возникновения проблемы: 20.03.2024 18:57
Описание проблемы:
Нет звука в аудиосистеме
Предпринятые действия:
Проверил настройки ПО, проблема не решена
Контактный телефон: +7 (974) 205-49-32</t>
  </si>
  <si>
    <t>Преподаватель: Сидоров В.В.
Подразделение: Кафедра общей физики
Аудитория: Гл-201
Дата возникновения проблемы: 14.03.2024 13:23
Описание проблемы:
Сложность с настройкой источников
Предпринятые действия:
Проверил настройки ПО, проблема не решена
Контактный телефон: +7 (947) 955-27-63</t>
  </si>
  <si>
    <t>ЗАЯВКА В ТЕХПОДДЕРЖКУ
1. Общие сведения:
   - Аудитория: Гл-114
   - Преподаватель: Васильев Б.Б.
   - Подразделение: Кафедра иностранных языков
   - Дата/время: 14.03.2024 10:46
2. Суть проблемы:
   Нет изображения на экране
3. Симптомы:
   Посторонние шумы в акустике
4. Влияние на учебный процесс:
   Проведено с ограничениями
Контакт для обратной связи: Васильев Б.Б.</t>
  </si>
  <si>
    <t>Васильев Б.Б.</t>
  </si>
  <si>
    <t>Преподаватель: Сидоров В.В.
Подразделение: Кафедра инженерной графики
Аудитория: Гл-110
Дата возникновения проблемы: 07.03.2024 14:26
Описание проблемы:
Не могу включить проектор
Предпринятые действия:
Проверил настройки ПО, проблема не решена
Контактный телефон: +7 (922) 961-20-18</t>
  </si>
  <si>
    <t>ЗАЯВКА В ТЕХПОДДЕРЖКУ
1. Общие сведения:
   - Аудитория: Гл-210
   - Преподаватель: Попов В.В.
   - Подразделение: Кафедра общей физики
   - Дата/время: 10.03.2024 14:51
2. Суть проблемы:
   Другая проблема
3. Симптомы:
   Оборудование не реагирует на команды
4. Влияние на учебный процесс:
   Проведено с ограничениями
Контакт для обратной связи: Попов В.В.</t>
  </si>
  <si>
    <t>СООБЩЕНИЕ О ПРОБЛЕМЕ
------------------
Аудитория: Гл-111
Оборудование: Мультимедийный комплекс
Преподаватель: Васильев В.В.
Кафедра: Кафедра иностранных языков
ПРОБЛЕМА:
Не подключается ноутбук через HDMI
ВРЕМЯ ВОЗНИКНОВЕНИЯ:
12.03.2024 09:56
ДОПОЛНИТЕЛЬНАЯ ИНФОРМАЦИЯ:
Проблема появилась после обновления ПО
СТАТУС: Требуется вмешательство специалиста</t>
  </si>
  <si>
    <t>Преподаватель: Морозов Б.Б.
Подразделение: Кафедра философии и социологии
Аудитория: Гл-212
Дата возникновения проблемы: 16.03.2024 08:21
Описание проблемы:
Проблема с переключением режимов
Предпринятые действия:
Попытался использовать запасные кабели, проблема сохраняется
Контактный телефон: +7 (970) 103-93-08</t>
  </si>
  <si>
    <t>СООБЩЕНИЕ О ПРОБЛЕМЕ
------------------
Аудитория: Гл-202
Оборудование: Мультимедийный комплекс
Преподаватель: Попов А.А.
Кафедра: Кафедра общей физики
ПРОБЛЕМА:
Требуется инструкция по использованию
ВРЕМЯ ВОЗНИКНОВЕНИЯ:
27.03.2024 13:31
ДОПОЛНИТЕЛЬНАЯ ИНФОРМАЦИЯ:
Проблема возникает при каждом использовании
СТАТУС: Требуется вмешательство специалиста</t>
  </si>
  <si>
    <t>СООБЩЕНИЕ О ПРОБЛЕМЕ
------------------
Аудитория: Гл-203
Оборудование: Мультимедийный комплекс
Преподаватель: Федоров А.А.
Кафедра: Кафедра безопасности информационных систем
ПРОБЛЕМА:
Не подключается ноутбук через HDMI
ВРЕМЯ ВОЗНИКНОВЕНИЯ:
20.03.2024 13:58
ДОПОЛНИТЕЛЬНАЯ ИНФОРМАЦИЯ:
Проблема возникает при каждом использовании
СТАТУС: Требуется вмешательство специалиста</t>
  </si>
  <si>
    <t>ЗАЯВКА В ТЕХПОДДЕРЖКУ
1. Общие сведения:
   - Аудитория: Гл-210
   - Преподаватель: Попов В.В.
   - Подразделение: Кафедра философии и социологии
   - Дата/время: 24.03.2024 16:48
2. Суть проблемы:
   Сложность с настройкой источников
3. Симптомы:
   Оборудование не реагирует на команды
4. Влияние на учебный процесс:
   Занятие проведено без мультимедийного оборудования
Контакт для обратной связи: Попов В.В.</t>
  </si>
  <si>
    <t>Преподаватель: Федоров А.А.
Подразделение: Кафедра иностранных языков
Аудитория: Гл-205
Дата возникновения проблемы: 07.03.2024 11:18
Описание проблемы:
Другая проблема
Предпринятые действия:
Проверил настройки ПО, проблема не решена
Контактный телефон: +7 (943) 973-59-89</t>
  </si>
  <si>
    <t>MMC v4.0</t>
  </si>
  <si>
    <t>СООБЩЕНИЕ О ПРОБЛЕМЕ
------------------
Аудитория: Гл-110
Оборудование: Мультимедийный комплекс
Преподаватель: Сидоров Б.Б.
Кафедра: Кафедра информатики и вычислительной техники
ПРОБЛЕМА:
Не могу включить проектор
ВРЕМЯ ВОЗНИКНОВЕНИЯ:
21.03.2024 11:48
ДОПОЛНИТЕЛЬНАЯ ИНФОРМАЦИЯ:
Проблема появилась после обновления ПО
СТАТУС: Требуется вмешательство специалиста</t>
  </si>
  <si>
    <t>MMC-0901</t>
  </si>
  <si>
    <t>СООБЩЕНИЕ О ПРОБЛЕМЕ
------------------
Аудитория: Гл-213
Оборудование: Мультимедийный комплекс
Преподаватель: Кузнецов Б.Б.
Кафедра: Кафедра экономики и менеджмента
ПРОБЛЕМА:
Не запускается мультимедийное ПО
ВРЕМЯ ВОЗНИКНОВЕНИЯ:
27.03.2024 17:02
ДОПОЛНИТЕЛЬНАЯ ИНФОРМАЦИЯ:
Проблема появилась после обновления ПО
СТАТУС: Требуется вмешательство специалиста</t>
  </si>
  <si>
    <t>СООБЩЕНИЕ О ПРОБЛЕМЕ
------------------
Аудитория: Гл-210
Оборудование: Мультимедийный комплекс
Преподаватель: Попов В.В.
Кафедра: Кафедра инженерной графики
ПРОБЛЕМА:
Другая проблема
ВРЕМЯ ВОЗНИКНОВЕНИЯ:
04.03.2024 08:32
ДОПОЛНИТЕЛЬНАЯ ИНФОРМАЦИЯ:
Проблема появилась после обновления ПО
СТАТУС: Требуется вмешательство специалиста</t>
  </si>
  <si>
    <t>ЗАЯВКА В ТЕХПОДДЕРЖКУ
1. Общие сведения:
   - Аудитория: Гл-103
   - Преподаватель: Сидоров Б.Б.
   - Подразделение: Кафедра высшей математики
   - Дата/время: 18.03.2024 14:27
2. Суть проблемы:
   Не могу включить проектор
3. Симптомы:
   Оборудование не реагирует на команды
4. Влияние на учебный процесс:
   Перенесено в другую аудиторию
Контакт для обратной связи: Сидоров Б.Б.</t>
  </si>
  <si>
    <t>ЗАЯВКА В ТЕХПОДДЕРЖКУ
1. Общие сведения:
   - Аудитория: Гл-112
   - Преподаватель: Волков В.В.
   - Подразделение: Кафедра истории России
   - Дата/время: 01.03.2024 11:32
2. Суть проблемы:
   Нет звука в аудиосистеме
3. Симптомы:
   Оборудование не реагирует на команды
4. Влияние на учебный процесс:
   Проведено с ограничениями
Контакт для обратной связи: Волков В.В.</t>
  </si>
  <si>
    <t>Преподаватель: Петров В.В.
Подразделение: Кафедра истории России
Аудитория: Гл-107
Дата возникновения проблемы: 05.03.2024 14:15
Описание проблемы:
Нет изображения на экране
Предпринятые действия:
Переключил источники сигнала, безрезультатно
Контактный телефон: +7 (942) 708-66-88</t>
  </si>
  <si>
    <t>СООБЩЕНИЕ О ПРОБЛЕМЕ
------------------
Аудитория: Гл-201
Оборудование: Мультимедийный комплекс
Преподаватель: Попов В.В.
Кафедра: Кафедра высшей математики
ПРОБЛЕМА:
Не подключается ноутбук через HDMI
ВРЕМЯ ВОЗНИКНОВЕНИЯ:
02.03.2024 15:03
ДОПОЛНИТЕЛЬНАЯ ИНФОРМАЦИЯ:
Ранее подобных проблем не наблюдалось
СТАТУС: Требуется вмешательство специалиста</t>
  </si>
  <si>
    <t>СООБЩЕНИЕ О ПРОБЛЕМЕ
------------------
Аудитория: Гл-208
Оборудование: Мультимедийный комплекс
Преподаватель: Морозов В.В.
Кафедра: Кафедра безопасности информационных систем
ПРОБЛЕМА:
Другая проблема
ВРЕМЯ ВОЗНИКНОВЕНИЯ:
27.03.2024 17:30
ДОПОЛНИТЕЛЬНАЯ ИНФОРМАЦИЯ:
Иногда работает нормально, иногда нет
СТАТУС: Требуется вмешательство специалиста</t>
  </si>
  <si>
    <t>СООБЩЕНИЕ О ПРОБЛЕМЕ
------------------
Аудитория: Гл-215
Оборудование: Мультимедийный комплекс
Преподаватель: Волков В.В.
Кафедра: Кафедра иностранных языков
ПРОБЛЕМА:
Не запускается мультимедийное ПО
ВРЕМЯ ВОЗНИКНОВЕНИЯ:
20.03.2024 15:11
ДОПОЛНИТЕЛЬНАЯ ИНФОРМАЦИЯ:
Проблема появилась после обновления ПО
СТАТУС: Требуется вмешательство специалиста</t>
  </si>
  <si>
    <t>MMC-0998</t>
  </si>
  <si>
    <t>Преподаватель: Попов Б.Б.
Подразделение: Кафедра общей физики
Аудитория: Гл-215
Дата возникновения проблемы: 27.03.2024 18:09
Описание проблемы:
Требуется инструкция по использованию
Предпринятые действия:
Переключил источники сигнала, безрезультатно
Контактный телефон: +7 (923) 320-61-63</t>
  </si>
  <si>
    <t>MMC-0933</t>
  </si>
  <si>
    <t>СООБЩЕНИЕ О ПРОБЛЕМЕ
------------------
Аудитория: Гл-101
Оборудование: Мультимедийный комплекс
Преподаватель: Морозов А.А.
Кафедра: Кафедра экономики и менеджмента
ПРОБЛЕМА:
Не запускается мультимедийное ПО
ВРЕМЯ ВОЗНИКНОВЕНИЯ:
17.03.2024 15:48
ДОПОЛНИТЕЛЬНАЯ ИНФОРМАЦИЯ:
Проблема возникает при каждом использовании
СТАТУС: Требуется вмешательство специалиста</t>
  </si>
  <si>
    <t>Преподаватель: Сидоров В.В.
Подразделение: Кафедра органической химии
Аудитория: Гл-215
Дата возникновения проблемы: 25.03.2024 16:02
Описание проблемы:
Нет изображения на экране
Предпринятые действия:
Проверил настройки ПО, проблема не решена
Контактный телефон: +7 (995) 211-17-90</t>
  </si>
  <si>
    <t>MMC-0989</t>
  </si>
  <si>
    <t>Преподаватель: Сидоров Б.Б.
Подразделение: Кафедра органической химии
Аудитория: Гл-109
Дата возникновения проблемы: 22.03.2024 17:55
Описание проблемы:
Нет изображения на экране
Предпринятые действия:
Проверил подключение питания, перезагрузил оборудование
Контактный телефон: +7 (979) 568-78-33</t>
  </si>
  <si>
    <t>MMC-0958</t>
  </si>
  <si>
    <t>ЗАЯВКА В ТЕХПОДДЕРЖКУ
1. Общие сведения:
   - Аудитория: Гл-202
   - Преподаватель: Федоров В.В.
   - Подразделение: Кафедра общей физики
   - Дата/время: 12.03.2024 10:47
2. Суть проблемы:
   Нет звука в аудиосистеме
3. Симптомы:
   Оборудование не реагирует на команды
4. Влияние на учебный процесс:
   Перенесено в другую аудиторию
Контакт для обратной связи: Федоров В.В.</t>
  </si>
  <si>
    <t>Метрика</t>
  </si>
  <si>
    <t>Всего заявок</t>
  </si>
  <si>
    <t>Критичных заявок</t>
  </si>
  <si>
    <t>Группа A</t>
  </si>
  <si>
    <t>Изменение</t>
  </si>
  <si>
    <t>Группа B</t>
  </si>
  <si>
    <t>Эффект</t>
  </si>
  <si>
    <t>Доверительный интервал</t>
  </si>
  <si>
    <t>A/B-тест: Новая структура инструкции для мультимедийных комплексов в аудиториях</t>
  </si>
  <si>
    <t>Ключевые метрики</t>
  </si>
  <si>
    <t xml:space="preserve">Всего заявок </t>
  </si>
  <si>
    <t xml:space="preserve">Среднее заявок/ауд  </t>
  </si>
  <si>
    <t>Критичные заявки</t>
  </si>
  <si>
    <t>Результат Т-теста</t>
  </si>
  <si>
    <t>P-значение</t>
  </si>
  <si>
    <t>Статистическая значимость</t>
  </si>
  <si>
    <t>Рекомендации</t>
  </si>
  <si>
    <t>Внедрить новую инструкцию в остальных аудиториях</t>
  </si>
  <si>
    <t>Провести повторный тест через 3 месяца</t>
  </si>
  <si>
    <t>Доверительный интервал 95%</t>
  </si>
  <si>
    <t>Группа A (старая инструкция)</t>
  </si>
  <si>
    <t>Группа B (новая инструкция)</t>
  </si>
  <si>
    <t>Проработать сценарий возникновения критичных проблем</t>
  </si>
  <si>
    <r>
      <rPr>
        <b/>
        <sz val="11"/>
        <color theme="1"/>
        <rFont val="Calibri"/>
        <family val="2"/>
        <charset val="204"/>
        <scheme val="minor"/>
      </rPr>
      <t>Вывод</t>
    </r>
    <r>
      <rPr>
        <sz val="11"/>
        <color theme="1"/>
        <rFont val="Calibri"/>
        <family val="2"/>
        <charset val="204"/>
        <scheme val="minor"/>
      </rPr>
      <t>: Новая инструкция статистически значимо снижает количество заявок на 33,3%.</t>
    </r>
  </si>
  <si>
    <t>Контрольная</t>
  </si>
  <si>
    <t>Тестовая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</si>
</sst>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color rgb="FF0F1115"/>
      <name val="Consolas"/>
      <family val="3"/>
      <charset val="204"/>
    </font>
    <font>
      <sz val="11"/>
      <color rgb="FF0F1115"/>
      <name val="Calibri"/>
      <family val="2"/>
      <charset val="204"/>
      <scheme val="minor"/>
    </font>
    <font>
      <b/>
      <sz val="12"/>
      <color rgb="FF0F1115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  <xf numFmtId="0" fontId="0" fillId="0" borderId="2" xfId="0" applyNumberFormat="1" applyFont="1" applyBorder="1" applyAlignment="1">
      <alignment horizontal="center" vertical="center" wrapText="1"/>
    </xf>
    <xf numFmtId="0" fontId="0" fillId="0" borderId="3" xfId="0" applyNumberFormat="1" applyFont="1" applyBorder="1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 wrapText="1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vertical="center" wrapText="1"/>
    </xf>
    <xf numFmtId="0" fontId="0" fillId="0" borderId="0" xfId="0" pivotButton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9" fontId="0" fillId="4" borderId="0" xfId="1" applyFont="1" applyFill="1" applyAlignment="1">
      <alignment horizontal="center" vertical="center" wrapText="1"/>
    </xf>
    <xf numFmtId="167" fontId="0" fillId="4" borderId="0" xfId="0" applyNumberForma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67" fontId="0" fillId="5" borderId="0" xfId="0" applyNumberFormat="1" applyFill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134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9" formatCode="dd/mm/yyyy"/>
    </dxf>
    <dxf>
      <numFmt numFmtId="0" formatCode="General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27" formatCode="dd/mm/yyyy\ h:mm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среднего количества заявок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'T-test'!$D$20</c:f>
                <c:numCache>
                  <c:formatCode>General</c:formatCode>
                  <c:ptCount val="1"/>
                  <c:pt idx="0">
                    <c:v>4.9816849816849793E-2</c:v>
                  </c:pt>
                </c:numCache>
              </c:numRef>
            </c:plus>
            <c:minus>
              <c:numRef>
                <c:f>'T-test'!$D$20</c:f>
                <c:numCache>
                  <c:formatCode>General</c:formatCode>
                  <c:ptCount val="1"/>
                  <c:pt idx="0">
                    <c:v>4.9816849816849793E-2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'T-test'!$B$2:$C$2</c:f>
              <c:strCache>
                <c:ptCount val="2"/>
                <c:pt idx="0">
                  <c:v>Контрольная</c:v>
                </c:pt>
                <c:pt idx="1">
                  <c:v>Тестовая</c:v>
                </c:pt>
              </c:strCache>
            </c:strRef>
          </c:cat>
          <c:val>
            <c:numRef>
              <c:f>'T-test'!$B$19:$B$20</c:f>
              <c:numCache>
                <c:formatCode>General</c:formatCode>
                <c:ptCount val="2"/>
                <c:pt idx="0">
                  <c:v>4.2857142857142856</c:v>
                </c:pt>
                <c:pt idx="1">
                  <c:v>2.8571428571428572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6-4059-9106-94753EFBB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129200"/>
        <c:axId val="810106320"/>
      </c:barChart>
      <c:catAx>
        <c:axId val="81012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Группы тестов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0106320"/>
        <c:crosses val="autoZero"/>
        <c:auto val="1"/>
        <c:lblAlgn val="ctr"/>
        <c:lblOffset val="100"/>
        <c:noMultiLvlLbl val="0"/>
      </c:catAx>
      <c:valAx>
        <c:axId val="8101063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заявок на аудиторию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81012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заявок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jira_daily_stats!$B$1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jira_daily_stats!$A$2:$A$30</c:f>
              <c:numCache>
                <c:formatCode>m/d/yyyy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45960</c:v>
                </c:pt>
              </c:numCache>
            </c:numRef>
          </c:cat>
          <c:val>
            <c:numRef>
              <c:f>jira_daily_stats!$B$2:$B$30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6</c:v>
                </c:pt>
                <c:pt idx="13">
                  <c:v>8</c:v>
                </c:pt>
                <c:pt idx="14">
                  <c:v>0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2-45BB-BC6D-E32A286B703A}"/>
            </c:ext>
          </c:extLst>
        </c:ser>
        <c:ser>
          <c:idx val="1"/>
          <c:order val="1"/>
          <c:tx>
            <c:strRef>
              <c:f>jira_daily_stats!$C$1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jira_daily_stats!$A$2:$A$30</c:f>
              <c:numCache>
                <c:formatCode>m/d/yyyy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45960</c:v>
                </c:pt>
              </c:numCache>
            </c:numRef>
          </c:cat>
          <c:val>
            <c:numRef>
              <c:f>jira_daily_stats!$C$2:$C$30</c:f>
              <c:numCache>
                <c:formatCode>General</c:formatCode>
                <c:ptCount val="2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6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B2-45BB-BC6D-E32A286B7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255648"/>
        <c:axId val="1987241088"/>
      </c:lineChart>
      <c:dateAx>
        <c:axId val="19872556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7241088"/>
        <c:crosses val="autoZero"/>
        <c:auto val="1"/>
        <c:lblOffset val="100"/>
        <c:baseTimeUnit val="days"/>
      </c:dateAx>
      <c:valAx>
        <c:axId val="19872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725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заявок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jira_daily_stats!$B$1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jira_daily_stats!$A$2:$A$30</c:f>
              <c:numCache>
                <c:formatCode>m/d/yyyy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45960</c:v>
                </c:pt>
              </c:numCache>
            </c:numRef>
          </c:cat>
          <c:val>
            <c:numRef>
              <c:f>jira_daily_stats!$B$2:$B$30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6</c:v>
                </c:pt>
                <c:pt idx="13">
                  <c:v>8</c:v>
                </c:pt>
                <c:pt idx="14">
                  <c:v>0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E-4C8F-9A05-E53DDFF77D0F}"/>
            </c:ext>
          </c:extLst>
        </c:ser>
        <c:ser>
          <c:idx val="1"/>
          <c:order val="1"/>
          <c:tx>
            <c:strRef>
              <c:f>jira_daily_stats!$C$1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jira_daily_stats!$A$2:$A$30</c:f>
              <c:numCache>
                <c:formatCode>m/d/yyyy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45960</c:v>
                </c:pt>
              </c:numCache>
            </c:numRef>
          </c:cat>
          <c:val>
            <c:numRef>
              <c:f>jira_daily_stats!$C$2:$C$30</c:f>
              <c:numCache>
                <c:formatCode>General</c:formatCode>
                <c:ptCount val="2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6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8E-4C8F-9A05-E53DDFF77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255648"/>
        <c:axId val="1987241088"/>
      </c:lineChart>
      <c:dateAx>
        <c:axId val="1987255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7241088"/>
        <c:crosses val="autoZero"/>
        <c:auto val="1"/>
        <c:lblOffset val="100"/>
        <c:baseTimeUnit val="days"/>
      </c:dateAx>
      <c:valAx>
        <c:axId val="19872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заявок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725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среднего количества заявок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'T-test'!$D$20</c:f>
                <c:numCache>
                  <c:formatCode>General</c:formatCode>
                  <c:ptCount val="1"/>
                  <c:pt idx="0">
                    <c:v>4.9816849816849793E-2</c:v>
                  </c:pt>
                </c:numCache>
              </c:numRef>
            </c:plus>
            <c:minus>
              <c:numRef>
                <c:f>'T-test'!$D$20</c:f>
                <c:numCache>
                  <c:formatCode>General</c:formatCode>
                  <c:ptCount val="1"/>
                  <c:pt idx="0">
                    <c:v>4.9816849816849793E-2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'T-test'!$B$2:$C$2</c:f>
              <c:strCache>
                <c:ptCount val="2"/>
                <c:pt idx="0">
                  <c:v>Контрольная</c:v>
                </c:pt>
                <c:pt idx="1">
                  <c:v>Тестовая</c:v>
                </c:pt>
              </c:strCache>
            </c:strRef>
          </c:cat>
          <c:val>
            <c:numRef>
              <c:f>'T-test'!$B$19:$B$20</c:f>
              <c:numCache>
                <c:formatCode>General</c:formatCode>
                <c:ptCount val="2"/>
                <c:pt idx="0">
                  <c:v>4.2857142857142856</c:v>
                </c:pt>
                <c:pt idx="1">
                  <c:v>2.8571428571428572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0-4C95-8937-F1F34B383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129200"/>
        <c:axId val="810106320"/>
      </c:barChart>
      <c:catAx>
        <c:axId val="81012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Группы тестов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0106320"/>
        <c:crosses val="autoZero"/>
        <c:auto val="1"/>
        <c:lblAlgn val="ctr"/>
        <c:lblOffset val="100"/>
        <c:noMultiLvlLbl val="0"/>
      </c:catAx>
      <c:valAx>
        <c:axId val="8101063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заявок на аудиторию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81012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42862</xdr:rowOff>
    </xdr:from>
    <xdr:to>
      <xdr:col>11</xdr:col>
      <xdr:colOff>200025</xdr:colOff>
      <xdr:row>14</xdr:row>
      <xdr:rowOff>42862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B73A491-3D7A-47CC-AA92-3165A442E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0</xdr:row>
      <xdr:rowOff>9525</xdr:rowOff>
    </xdr:from>
    <xdr:to>
      <xdr:col>17</xdr:col>
      <xdr:colOff>9525</xdr:colOff>
      <xdr:row>24</xdr:row>
      <xdr:rowOff>19051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F307228-9616-4DCD-90AC-9892C1776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18</xdr:col>
      <xdr:colOff>600075</xdr:colOff>
      <xdr:row>12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B3F9674-8742-4793-A631-C88430760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609599</xdr:colOff>
      <xdr:row>11</xdr:row>
      <xdr:rowOff>371475</xdr:rowOff>
    </xdr:from>
    <xdr:to>
      <xdr:col>18</xdr:col>
      <xdr:colOff>600075</xdr:colOff>
      <xdr:row>19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4CC563D-1877-4C00-9CCD-F7C15D544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mos" refreshedDate="46065.413478587965" createdVersion="7" refreshedVersion="7" minRefreshableVersion="3" recordCount="100" xr:uid="{3EB31F06-CED1-4D28-B6E8-68CAAAF53064}">
  <cacheSource type="worksheet">
    <worksheetSource name="jira_simple_export"/>
  </cacheSource>
  <cacheFields count="12">
    <cacheField name="Issue Key" numFmtId="0">
      <sharedItems/>
    </cacheField>
    <cacheField name="Summary" numFmtId="0">
      <sharedItems/>
    </cacheField>
    <cacheField name="Status" numFmtId="0">
      <sharedItems/>
    </cacheField>
    <cacheField name="Priority" numFmtId="0">
      <sharedItems count="4">
        <s v="Low"/>
        <s v="Medium"/>
        <s v="Highest"/>
        <s v="High"/>
      </sharedItems>
    </cacheField>
    <cacheField name="Created" numFmtId="22">
      <sharedItems containsSemiMixedTypes="0" containsNonDate="0" containsDate="1" containsString="0" minDate="2025-10-01T09:59:00" maxDate="2025-10-30T14:07:00"/>
    </cacheField>
    <cacheField name="Аудитория" numFmtId="0">
      <sharedItems/>
    </cacheField>
    <cacheField name="Группа A/B теста" numFmtId="0">
      <sharedItems count="2">
        <s v="A"/>
        <s v="B"/>
      </sharedItems>
    </cacheField>
    <cacheField name="Категория проблемы" numFmtId="0">
      <sharedItems count="9">
        <s v="Не могу включить проектор"/>
        <s v="Нет изображения на экране"/>
        <s v="Другая проблема"/>
        <s v="Сложность с настройкой источников"/>
        <s v="Не подключается ноутбук через HDMI"/>
        <s v="Не запускается мультимедийное ПО"/>
        <s v="Проблема с переключением режимов"/>
        <s v="Требуется инструкция по использованию"/>
        <s v="Нет звука в аудиосистеме"/>
      </sharedItems>
    </cacheField>
    <cacheField name="Component/s" numFmtId="0">
      <sharedItems/>
    </cacheField>
    <cacheField name="Время решения (часы)" numFmtId="0">
      <sharedItems containsSemiMixedTypes="0" containsString="0" containsNumber="1" minValue="0" maxValue="48.3"/>
    </cacheField>
    <cacheField name="Кафедра" numFmtId="0">
      <sharedItems/>
    </cacheField>
    <cacheField name="Влияние на процесс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MMC-1004"/>
    <s v="Не могу включить проектор в аудитории Гл-108"/>
    <s v="Решена"/>
    <x v="0"/>
    <d v="2025-10-01T09:59:00"/>
    <s v="Гл-108"/>
    <x v="0"/>
    <x v="0"/>
    <s v="Другое оборудование"/>
    <n v="20.2"/>
    <s v="Кафедра безопасности информационных систем"/>
    <s v="Высокое"/>
  </r>
  <r>
    <s v="MMC-1097"/>
    <s v="Неисправность оборудования в Гл-210: Не могу включить проектор"/>
    <s v="Решена"/>
    <x v="1"/>
    <d v="2025-10-01T12:11:00"/>
    <s v="Гл-210"/>
    <x v="1"/>
    <x v="0"/>
    <s v="Сетевое оборудование"/>
    <n v="7.6"/>
    <s v="Кафедра иностранных языков"/>
    <s v="Низкое"/>
  </r>
  <r>
    <s v="MMC-1033"/>
    <s v="Нет изображения на экране в аудитории Гл-115"/>
    <s v="Решена"/>
    <x v="0"/>
    <d v="2025-10-01T14:03:00"/>
    <s v="Гл-115"/>
    <x v="0"/>
    <x v="1"/>
    <s v="ПО"/>
    <n v="24.2"/>
    <s v="Кафедра иностранных языков"/>
    <s v="Низкое"/>
  </r>
  <r>
    <s v="MMC-1091"/>
    <s v="Неисправность оборудования в Гл-211: Другая проблема"/>
    <s v="Решена"/>
    <x v="1"/>
    <d v="2025-10-01T17:37:00"/>
    <s v="Гл-211"/>
    <x v="1"/>
    <x v="2"/>
    <s v="Акустика"/>
    <n v="38.200000000000003"/>
    <s v="Кафедра инженерной графики"/>
    <s v="Критичное"/>
  </r>
  <r>
    <s v="MMC-1074"/>
    <s v="Аудитория Гл-208: Сложность с настройкой источников"/>
    <s v="Решена"/>
    <x v="0"/>
    <d v="2025-10-02T10:17:00"/>
    <s v="Гл-208"/>
    <x v="1"/>
    <x v="3"/>
    <s v="Сетевое оборудование"/>
    <n v="40.6"/>
    <s v="Кафедра информатики и вычислительной техники"/>
    <s v="Среднее"/>
  </r>
  <r>
    <s v="MMC-1025"/>
    <s v="Неисправность оборудования в Гл-105: Не могу включить проектор"/>
    <s v="Решена"/>
    <x v="1"/>
    <d v="2025-10-02T10:47:00"/>
    <s v="Гл-105"/>
    <x v="0"/>
    <x v="0"/>
    <s v="Сетевое оборудование"/>
    <n v="8.8000000000000007"/>
    <s v="Кафедра иностранных языков"/>
    <s v="Среднее"/>
  </r>
  <r>
    <s v="MMC-1035"/>
    <s v="Не подключается ноутбук через HDMI. Аудитория: Гл-105"/>
    <s v="Решена"/>
    <x v="1"/>
    <d v="2025-10-02T18:12:00"/>
    <s v="Гл-105"/>
    <x v="0"/>
    <x v="4"/>
    <s v="Компьютер"/>
    <n v="4.9000000000000004"/>
    <s v="Кафедра высшей математики"/>
    <s v="Критичное"/>
  </r>
  <r>
    <s v="MMC-1002"/>
    <s v="Другая проблема. Аудитория: Гл-112"/>
    <s v="В работе"/>
    <x v="1"/>
    <d v="2025-10-03T08:42:00"/>
    <s v="Гл-112"/>
    <x v="0"/>
    <x v="2"/>
    <s v="Другое оборудование"/>
    <n v="0"/>
    <s v="Кафедра органической химии"/>
    <s v="Критичное"/>
  </r>
  <r>
    <s v="MMC-1072"/>
    <s v="Аудитория Гл-207: Нет изображения на экране"/>
    <s v="Решена"/>
    <x v="2"/>
    <d v="2025-10-03T12:52:00"/>
    <s v="Гл-207"/>
    <x v="1"/>
    <x v="1"/>
    <s v="Сетевое оборудование"/>
    <n v="39.5"/>
    <s v="Кафедра органической химии"/>
    <s v="Высокое"/>
  </r>
  <r>
    <s v="MMC-1037"/>
    <s v="Неисправность оборудования в Гл-112: Не могу включить проектор"/>
    <s v="Решена"/>
    <x v="1"/>
    <d v="2025-10-03T16:34:00"/>
    <s v="Гл-112"/>
    <x v="0"/>
    <x v="0"/>
    <s v="Другое оборудование"/>
    <n v="20.9"/>
    <s v="Кафедра общей физики"/>
    <s v="Среднее"/>
  </r>
  <r>
    <s v="MMC-1001"/>
    <s v="Неисправность оборудования в Гл-111: Не запускается мультимедийное ПО"/>
    <s v="Решена"/>
    <x v="0"/>
    <d v="2025-10-04T08:47:00"/>
    <s v="Гл-111"/>
    <x v="0"/>
    <x v="5"/>
    <s v="Проектор"/>
    <n v="15.1"/>
    <s v="Кафедра истории России"/>
    <s v="Среднее"/>
  </r>
  <r>
    <s v="MMC-1088"/>
    <s v="Не могу включить проектор. Аудитория: Гл-202"/>
    <s v="Решена"/>
    <x v="0"/>
    <d v="2025-10-04T10:49:00"/>
    <s v="Гл-202"/>
    <x v="1"/>
    <x v="0"/>
    <s v="Сетевое оборудование"/>
    <n v="1.7"/>
    <s v="Кафедра органической химии"/>
    <s v="Критичное"/>
  </r>
  <r>
    <s v="MMC-1062"/>
    <s v="Проблема: Проблема с переключением режимов (аудитория Гл-207)"/>
    <s v="Решена"/>
    <x v="1"/>
    <d v="2025-10-04T11:31:00"/>
    <s v="Гл-207"/>
    <x v="1"/>
    <x v="6"/>
    <s v="Другое оборудование"/>
    <n v="5.5"/>
    <s v="Кафедра иностранных языков"/>
    <s v="Высокое"/>
  </r>
  <r>
    <s v="MMC-1083"/>
    <s v="Не подключается ноутбук через HDMI в аудитории Гл-206"/>
    <s v="Решена"/>
    <x v="1"/>
    <d v="2025-10-04T15:47:00"/>
    <s v="Гл-206"/>
    <x v="1"/>
    <x v="4"/>
    <s v="Проектор"/>
    <n v="7.4"/>
    <s v="Кафедра истории России"/>
    <s v="Критичное"/>
  </r>
  <r>
    <s v="MMC-1068"/>
    <s v="Сложность с настройкой источников. Аудитория: Гл-207"/>
    <s v="Решена"/>
    <x v="3"/>
    <d v="2025-10-05T14:12:00"/>
    <s v="Гл-207"/>
    <x v="1"/>
    <x v="3"/>
    <s v="Сетевое оборудование"/>
    <n v="34.200000000000003"/>
    <s v="Кафедра истории России"/>
    <s v="Высокое"/>
  </r>
  <r>
    <s v="MMC-1082"/>
    <s v="Неисправность оборудования в Гл-215: Не могу включить проектор"/>
    <s v="Решена"/>
    <x v="2"/>
    <d v="2025-10-05T15:58:00"/>
    <s v="Гл-215"/>
    <x v="1"/>
    <x v="0"/>
    <s v="Акустика"/>
    <n v="27.5"/>
    <s v="Кафедра иностранных языков"/>
    <s v="Высокое"/>
  </r>
  <r>
    <s v="MMC-1093"/>
    <s v="Проблема: Не могу включить проектор (аудитория Гл-201)"/>
    <s v="В работе"/>
    <x v="1"/>
    <d v="2025-10-05T17:37:00"/>
    <s v="Гл-201"/>
    <x v="1"/>
    <x v="0"/>
    <s v="ПО"/>
    <n v="0"/>
    <s v="Кафедра общей физики"/>
    <s v="Низкое"/>
  </r>
  <r>
    <s v="MMC-1060"/>
    <s v="Не подключается ноутбук через HDMI. Аудитория: Гл-110"/>
    <s v="Решена"/>
    <x v="1"/>
    <d v="2025-10-05T17:54:00"/>
    <s v="Гл-110"/>
    <x v="0"/>
    <x v="4"/>
    <s v="Другое оборудование"/>
    <n v="22.9"/>
    <s v="Кафедра информатики и вычислительной техники"/>
    <s v="Высокое"/>
  </r>
  <r>
    <s v="MMC-1100"/>
    <s v="Аудитория Гл-212: Сложность с настройкой источников"/>
    <s v="Закрыта"/>
    <x v="1"/>
    <d v="2025-10-06T08:13:00"/>
    <s v="Гл-212"/>
    <x v="1"/>
    <x v="3"/>
    <s v="Сетевое оборудование"/>
    <n v="31.9"/>
    <s v="Кафедра иностранных языков"/>
    <s v="Низкое"/>
  </r>
  <r>
    <s v="MMC-1032"/>
    <s v="Другая проблема. Аудитория: Гл-103"/>
    <s v="Решена"/>
    <x v="1"/>
    <d v="2025-10-06T10:53:00"/>
    <s v="Гл-103"/>
    <x v="0"/>
    <x v="2"/>
    <s v="Сетевое оборудование"/>
    <n v="40.9"/>
    <s v="Кафедра философии и социологии"/>
    <s v="Критичное"/>
  </r>
  <r>
    <s v="MMC-1094"/>
    <s v="Сложность с настройкой источников. Аудитория: Гл-202"/>
    <s v="Решена"/>
    <x v="1"/>
    <d v="2025-10-06T15:57:00"/>
    <s v="Гл-202"/>
    <x v="1"/>
    <x v="3"/>
    <s v="Другое оборудование"/>
    <n v="3.9"/>
    <s v="Кафедра высшей математики"/>
    <s v="Низкое"/>
  </r>
  <r>
    <s v="MMC-1047"/>
    <s v="Проблема: Не запускается мультимедийное ПО (аудитория Гл-105)"/>
    <s v="Закрыта"/>
    <x v="1"/>
    <d v="2025-10-07T09:02:00"/>
    <s v="Гл-105"/>
    <x v="0"/>
    <x v="5"/>
    <s v="Другое оборудование"/>
    <n v="27.6"/>
    <s v="Кафедра информатики и вычислительной техники"/>
    <s v="Среднее"/>
  </r>
  <r>
    <s v="MMC-1009"/>
    <s v="Аудитория Гл-104: Не могу включить проектор"/>
    <s v="Решена"/>
    <x v="1"/>
    <d v="2025-10-07T15:22:00"/>
    <s v="Гл-104"/>
    <x v="0"/>
    <x v="0"/>
    <s v="Компьютер"/>
    <n v="15.2"/>
    <s v="Кафедра экономики и менеджмента"/>
    <s v="Высокое"/>
  </r>
  <r>
    <s v="MMC-1080"/>
    <s v="Неисправность оборудования в Гл-203: Сложность с настройкой источников"/>
    <s v="Открыта"/>
    <x v="1"/>
    <d v="2025-10-07T18:40:00"/>
    <s v="Гл-203"/>
    <x v="1"/>
    <x v="3"/>
    <s v="Компьютер"/>
    <n v="0"/>
    <s v="Кафедра истории России"/>
    <s v="Критичное"/>
  </r>
  <r>
    <s v="MMC-1016"/>
    <s v="Аудитория Гл-105: Не могу включить проектор"/>
    <s v="Решена"/>
    <x v="1"/>
    <d v="2025-10-08T13:11:00"/>
    <s v="Гл-105"/>
    <x v="0"/>
    <x v="0"/>
    <s v="Проектор"/>
    <n v="46.6"/>
    <s v="Кафедра информатики и вычислительной техники"/>
    <s v="Высокое"/>
  </r>
  <r>
    <s v="MMC-1026"/>
    <s v="Аудитория Гл-115: Не запускается мультимедийное ПО"/>
    <s v="Закрыта"/>
    <x v="1"/>
    <d v="2025-10-08T14:21:00"/>
    <s v="Гл-115"/>
    <x v="0"/>
    <x v="5"/>
    <s v="Другое оборудование"/>
    <n v="26.4"/>
    <s v="Кафедра экономики и менеджмента"/>
    <s v="Низкое"/>
  </r>
  <r>
    <s v="MMC-1003"/>
    <s v="Проблема: Требуется инструкция по использованию (аудитория Гл-103)"/>
    <s v="Решена"/>
    <x v="1"/>
    <d v="2025-10-08T16:34:00"/>
    <s v="Гл-103"/>
    <x v="0"/>
    <x v="7"/>
    <s v="ПО"/>
    <n v="38.5"/>
    <s v="Кафедра иностранных языков"/>
    <s v="Высокое"/>
  </r>
  <r>
    <s v="MMC-1049"/>
    <s v="Нет звука в аудиосистеме. Аудитория: Гл-115"/>
    <s v="В работе"/>
    <x v="2"/>
    <d v="2025-10-08T17:45:00"/>
    <s v="Гл-115"/>
    <x v="0"/>
    <x v="8"/>
    <s v="Акустика"/>
    <n v="0"/>
    <s v="Кафедра инженерной графики"/>
    <s v="Среднее"/>
  </r>
  <r>
    <s v="MMC-1024"/>
    <s v="Аудитория Гл-107: Другая проблема"/>
    <s v="Решена"/>
    <x v="0"/>
    <d v="2025-10-09T08:44:00"/>
    <s v="Гл-107"/>
    <x v="0"/>
    <x v="2"/>
    <s v="ПО"/>
    <n v="29.5"/>
    <s v="Кафедра иностранных языков"/>
    <s v="Высокое"/>
  </r>
  <r>
    <s v="MMC-1017"/>
    <s v="Нет звука в аудиосистеме. Аудитория: Гл-104"/>
    <s v="В работе"/>
    <x v="1"/>
    <d v="2025-10-09T18:05:00"/>
    <s v="Гл-104"/>
    <x v="0"/>
    <x v="8"/>
    <s v="Другое оборудование"/>
    <n v="0"/>
    <s v="Кафедра информатики и вычислительной техники"/>
    <s v="Низкое"/>
  </r>
  <r>
    <s v="MMC-1005"/>
    <s v="Не запускается мультимедийное ПО. Аудитория: Гл-104"/>
    <s v="В работе"/>
    <x v="0"/>
    <d v="2025-10-09T18:31:00"/>
    <s v="Гл-104"/>
    <x v="0"/>
    <x v="5"/>
    <s v="Проектор"/>
    <n v="0"/>
    <s v="Кафедра безопасности информационных систем"/>
    <s v="Среднее"/>
  </r>
  <r>
    <s v="MMC-1038"/>
    <s v="Аудитория Гл-103: Нет изображения на экране"/>
    <s v="Решена"/>
    <x v="3"/>
    <d v="2025-10-10T10:10:00"/>
    <s v="Гл-103"/>
    <x v="0"/>
    <x v="1"/>
    <s v="Другое оборудование"/>
    <n v="46.2"/>
    <s v="Кафедра инженерной графики"/>
    <s v="Низкое"/>
  </r>
  <r>
    <s v="MMC-1078"/>
    <s v="Другая проблема. Аудитория: Гл-209"/>
    <s v="Закрыта"/>
    <x v="3"/>
    <d v="2025-10-10T14:03:00"/>
    <s v="Гл-209"/>
    <x v="1"/>
    <x v="2"/>
    <s v="Сетевое оборудование"/>
    <n v="10.1"/>
    <s v="Кафедра экономики и менеджмента"/>
    <s v="Критичное"/>
  </r>
  <r>
    <s v="MMC-1030"/>
    <s v="Неисправность оборудования в Гл-102: Требуется инструкция по использованию"/>
    <s v="Открыта"/>
    <x v="0"/>
    <d v="2025-10-10T15:28:00"/>
    <s v="Гл-102"/>
    <x v="0"/>
    <x v="7"/>
    <s v="Компьютер"/>
    <n v="0"/>
    <s v="Кафедра высшей математики"/>
    <s v="Высокое"/>
  </r>
  <r>
    <s v="MMC-1059"/>
    <s v="Не подключается ноутбук через HDMI в аудитории Гл-103"/>
    <s v="Решена"/>
    <x v="1"/>
    <d v="2025-10-11T12:18:00"/>
    <s v="Гл-103"/>
    <x v="0"/>
    <x v="4"/>
    <s v="Проектор"/>
    <n v="34"/>
    <s v="Кафедра общей физики"/>
    <s v="Низкое"/>
  </r>
  <r>
    <s v="MMC-1039"/>
    <s v="Проблема: Не запускается мультимедийное ПО (аудитория Гл-104)"/>
    <s v="Решена"/>
    <x v="1"/>
    <d v="2025-10-11T17:09:00"/>
    <s v="Гл-104"/>
    <x v="0"/>
    <x v="5"/>
    <s v="Акустика"/>
    <n v="46.3"/>
    <s v="Кафедра иностранных языков"/>
    <s v="Низкое"/>
  </r>
  <r>
    <s v="MMC-1042"/>
    <s v="Аудитория Гл-109: Нет звука в аудиосистеме"/>
    <s v="Решена"/>
    <x v="1"/>
    <d v="2025-10-11T18:30:00"/>
    <s v="Гл-109"/>
    <x v="0"/>
    <x v="8"/>
    <s v="Другое оборудование"/>
    <n v="21.2"/>
    <s v="Кафедра иностранных языков"/>
    <s v="Среднее"/>
  </r>
  <r>
    <s v="MMC-1095"/>
    <s v="Аудитория Гл-207: Нет звука в аудиосистеме"/>
    <s v="Решена"/>
    <x v="1"/>
    <d v="2025-10-12T09:09:00"/>
    <s v="Гл-207"/>
    <x v="1"/>
    <x v="8"/>
    <s v="Другое оборудование"/>
    <n v="38.299999999999997"/>
    <s v="Кафедра экономики и менеджмента"/>
    <s v="Критичное"/>
  </r>
  <r>
    <s v="MMC-1087"/>
    <s v="Проблема: Другая проблема (аудитория Гл-209)"/>
    <s v="Решена"/>
    <x v="1"/>
    <d v="2025-10-12T09:50:00"/>
    <s v="Гл-209"/>
    <x v="1"/>
    <x v="2"/>
    <s v="Другое оборудование"/>
    <n v="34.200000000000003"/>
    <s v="Кафедра высшей математики"/>
    <s v="Среднее"/>
  </r>
  <r>
    <s v="MMC-1051"/>
    <s v="Нет изображения на экране в аудитории Гл-102"/>
    <s v="Решена"/>
    <x v="1"/>
    <d v="2025-10-12T14:29:00"/>
    <s v="Гл-102"/>
    <x v="0"/>
    <x v="1"/>
    <s v="Другое оборудование"/>
    <n v="45.2"/>
    <s v="Кафедра высшей математики"/>
    <s v="Высокое"/>
  </r>
  <r>
    <s v="MMC-1019"/>
    <s v="Аудитория Гл-109: Не могу включить проектор"/>
    <s v="Решена"/>
    <x v="1"/>
    <d v="2025-10-12T17:48:00"/>
    <s v="Гл-109"/>
    <x v="0"/>
    <x v="0"/>
    <s v="Акустика"/>
    <n v="29.8"/>
    <s v="Кафедра истории России"/>
    <s v="Высокое"/>
  </r>
  <r>
    <s v="MMC-1012"/>
    <s v="Нет изображения на экране в аудитории Гл-104"/>
    <s v="В работе"/>
    <x v="1"/>
    <d v="2025-10-13T10:45:00"/>
    <s v="Гл-104"/>
    <x v="0"/>
    <x v="1"/>
    <s v="Сетевое оборудование"/>
    <n v="0"/>
    <s v="Кафедра философии и социологии"/>
    <s v="Низкое"/>
  </r>
  <r>
    <s v="MMC-1013"/>
    <s v="Требуется инструкция по использованию в аудитории Гл-105"/>
    <s v="Решена"/>
    <x v="1"/>
    <d v="2025-10-13T13:13:00"/>
    <s v="Гл-105"/>
    <x v="0"/>
    <x v="7"/>
    <s v="ПО"/>
    <n v="22.8"/>
    <s v="Кафедра экономики и менеджмента"/>
    <s v="Среднее"/>
  </r>
  <r>
    <s v="MMC-1096"/>
    <s v="Другая проблема. Аудитория: Гл-212"/>
    <s v="Решена"/>
    <x v="1"/>
    <d v="2025-10-13T14:39:00"/>
    <s v="Гл-212"/>
    <x v="1"/>
    <x v="2"/>
    <s v="Акустика"/>
    <n v="19.8"/>
    <s v="Кафедра общей физики"/>
    <s v="Критичное"/>
  </r>
  <r>
    <s v="MMC-1023"/>
    <s v="Аудитория Гл-111: Не могу включить проектор"/>
    <s v="Открыта"/>
    <x v="1"/>
    <d v="2025-10-13T16:23:00"/>
    <s v="Гл-111"/>
    <x v="0"/>
    <x v="0"/>
    <s v="Проектор"/>
    <n v="0"/>
    <s v="Кафедра высшей математики"/>
    <s v="Высокое"/>
  </r>
  <r>
    <s v="MMC-1079"/>
    <s v="Неисправность оборудования в Гл-202: Не могу включить проектор"/>
    <s v="Решена"/>
    <x v="1"/>
    <d v="2025-10-13T16:37:00"/>
    <s v="Гл-202"/>
    <x v="1"/>
    <x v="0"/>
    <s v="ПО"/>
    <n v="5.9"/>
    <s v="Кафедра философии и социологии"/>
    <s v="Критичное"/>
  </r>
  <r>
    <s v="MMC-1057"/>
    <s v="Неисправность оборудования в Гл-110: Не могу включить проектор"/>
    <s v="Решена"/>
    <x v="1"/>
    <d v="2025-10-13T17:07:00"/>
    <s v="Гл-110"/>
    <x v="0"/>
    <x v="0"/>
    <s v="ПО"/>
    <n v="30.6"/>
    <s v="Кафедра инженерной графики"/>
    <s v="Низкое"/>
  </r>
  <r>
    <s v="MMC-1022"/>
    <s v="Не могу включить проектор в аудитории Гл-104"/>
    <s v="Решена"/>
    <x v="1"/>
    <d v="2025-10-13T17:22:00"/>
    <s v="Гл-104"/>
    <x v="0"/>
    <x v="0"/>
    <s v="Проектор"/>
    <n v="45.3"/>
    <s v="Кафедра экономики и менеджмента"/>
    <s v="Среднее"/>
  </r>
  <r>
    <s v="MMC-1041"/>
    <s v="Неисправность оборудования в Гл-103: Нет звука в аудиосистеме"/>
    <s v="Закрыта"/>
    <x v="1"/>
    <d v="2025-10-13T17:47:00"/>
    <s v="Гл-103"/>
    <x v="0"/>
    <x v="8"/>
    <s v="Другое оборудование"/>
    <n v="38.4"/>
    <s v="Кафедра истории России"/>
    <s v="Высокое"/>
  </r>
  <r>
    <s v="MMC-1089"/>
    <s v="Проблема: Нет изображения на экране (аудитория Гл-207)"/>
    <s v="Решена"/>
    <x v="1"/>
    <d v="2025-10-13T18:01:00"/>
    <s v="Гл-207"/>
    <x v="1"/>
    <x v="1"/>
    <s v="Другое оборудование"/>
    <n v="35.200000000000003"/>
    <s v="Кафедра истории России"/>
    <s v="Критичное"/>
  </r>
  <r>
    <s v="MMC-1065"/>
    <s v="Сложность с настройкой источников. Аудитория: Гл-215"/>
    <s v="Решена"/>
    <x v="1"/>
    <d v="2025-10-14T08:14:00"/>
    <s v="Гл-215"/>
    <x v="1"/>
    <x v="3"/>
    <s v="Другое оборудование"/>
    <n v="41.9"/>
    <s v="Кафедра иностранных языков"/>
    <s v="Высокое"/>
  </r>
  <r>
    <s v="MMC-1053"/>
    <s v="Не могу включить проектор в аудитории Гл-109"/>
    <s v="Открыта"/>
    <x v="3"/>
    <d v="2025-10-14T09:01:00"/>
    <s v="Гл-109"/>
    <x v="0"/>
    <x v="0"/>
    <s v="Сетевое оборудование"/>
    <n v="0"/>
    <s v="Кафедра иностранных языков"/>
    <s v="Высокое"/>
  </r>
  <r>
    <s v="MMC-1029"/>
    <s v="Аудитория Гл-102: Не могу включить проектор"/>
    <s v="Решена"/>
    <x v="1"/>
    <d v="2025-10-14T09:15:00"/>
    <s v="Гл-102"/>
    <x v="0"/>
    <x v="0"/>
    <s v="Акустика"/>
    <n v="26.6"/>
    <s v="Кафедра инженерной графики"/>
    <s v="Среднее"/>
  </r>
  <r>
    <s v="MMC-1028"/>
    <s v="Нет звука в аудиосистеме. Аудитория: Гл-106"/>
    <s v="Решена"/>
    <x v="1"/>
    <d v="2025-10-14T09:18:00"/>
    <s v="Гл-106"/>
    <x v="0"/>
    <x v="8"/>
    <s v="Акустика"/>
    <n v="38.5"/>
    <s v="Кафедра информатики и вычислительной техники"/>
    <s v="Низкое"/>
  </r>
  <r>
    <s v="MMC-1021"/>
    <s v="Аудитория Гл-102: Не могу включить проектор"/>
    <s v="Решена"/>
    <x v="1"/>
    <d v="2025-10-14T09:48:00"/>
    <s v="Гл-102"/>
    <x v="0"/>
    <x v="0"/>
    <s v="ПО"/>
    <n v="7.5"/>
    <s v="Кафедра информатики и вычислительной техники"/>
    <s v="Низкое"/>
  </r>
  <r>
    <s v="MMC-1010"/>
    <s v="Проблема: Не могу включить проектор (аудитория Гл-111)"/>
    <s v="Решена"/>
    <x v="1"/>
    <d v="2025-10-14T13:25:00"/>
    <s v="Гл-111"/>
    <x v="0"/>
    <x v="0"/>
    <s v="ПО"/>
    <n v="36.1"/>
    <s v="Кафедра экономики и менеджмента"/>
    <s v="Высокое"/>
  </r>
  <r>
    <s v="MMC-1018"/>
    <s v="Другая проблема в аудитории Гл-115"/>
    <s v="Решена"/>
    <x v="1"/>
    <d v="2025-10-14T13:38:00"/>
    <s v="Гл-115"/>
    <x v="0"/>
    <x v="2"/>
    <s v="Компьютер"/>
    <n v="6.2"/>
    <s v="Кафедра безопасности информационных систем"/>
    <s v="Среднее"/>
  </r>
  <r>
    <s v="MMC-1006"/>
    <s v="Другая проблема. Аудитория: Гл-103"/>
    <s v="В работе"/>
    <x v="1"/>
    <d v="2025-10-14T15:30:00"/>
    <s v="Гл-103"/>
    <x v="0"/>
    <x v="2"/>
    <s v="ПО"/>
    <n v="0"/>
    <s v="Кафедра экономики и менеджмента"/>
    <s v="Критичное"/>
  </r>
  <r>
    <s v="MMC-1054"/>
    <s v="Аудитория Гл-106: Не подключается ноутбук через HDMI"/>
    <s v="В работе"/>
    <x v="0"/>
    <d v="2025-10-14T18:38:00"/>
    <s v="Гл-106"/>
    <x v="0"/>
    <x v="4"/>
    <s v="Сетевое оборудование"/>
    <n v="0"/>
    <s v="Кафедра органической химии"/>
    <s v="Высокое"/>
  </r>
  <r>
    <s v="MMC-1081"/>
    <s v="Аудитория Гл-204: Нет изображения на экране"/>
    <s v="Решена"/>
    <x v="3"/>
    <d v="2025-10-15T12:16:00"/>
    <s v="Гл-204"/>
    <x v="1"/>
    <x v="1"/>
    <s v="Сетевое оборудование"/>
    <n v="7.9"/>
    <s v="Кафедра инженерной графики"/>
    <s v="Критичное"/>
  </r>
  <r>
    <s v="MMC-1061"/>
    <s v="Проблема: Нет изображения на экране (аудитория Гл-203)"/>
    <s v="Решена"/>
    <x v="3"/>
    <d v="2025-10-16T09:14:00"/>
    <s v="Гл-203"/>
    <x v="1"/>
    <x v="1"/>
    <s v="Проектор"/>
    <n v="47.9"/>
    <s v="Кафедра иностранных языков"/>
    <s v="Среднее"/>
  </r>
  <r>
    <s v="MMC-1056"/>
    <s v="Аудитория Гл-106: Не могу включить проектор"/>
    <s v="Решена"/>
    <x v="1"/>
    <d v="2025-10-16T09:28:00"/>
    <s v="Гл-106"/>
    <x v="0"/>
    <x v="0"/>
    <s v="Другое оборудование"/>
    <n v="29.3"/>
    <s v="Кафедра высшей математики"/>
    <s v="Критичное"/>
  </r>
  <r>
    <s v="MMC-1020"/>
    <s v="Проблема: Нет звука в аудиосистеме (аудитория Гл-109)"/>
    <s v="Решена"/>
    <x v="1"/>
    <d v="2025-10-16T13:21:00"/>
    <s v="Гл-109"/>
    <x v="0"/>
    <x v="8"/>
    <s v="Сетевое оборудование"/>
    <n v="35.4"/>
    <s v="Кафедра органической химии"/>
    <s v="Критичное"/>
  </r>
  <r>
    <s v="MMC-1064"/>
    <s v="Другая проблема. Аудитория: Гл-201"/>
    <s v="Закрыта"/>
    <x v="0"/>
    <d v="2025-10-16T13:24:00"/>
    <s v="Гл-201"/>
    <x v="1"/>
    <x v="2"/>
    <s v="Проектор"/>
    <n v="13"/>
    <s v="Кафедра истории России"/>
    <s v="Среднее"/>
  </r>
  <r>
    <s v="MMC-1011"/>
    <s v="Проблема: Требуется инструкция по использованию (аудитория Гл-107)"/>
    <s v="В работе"/>
    <x v="0"/>
    <d v="2025-10-16T14:15:00"/>
    <s v="Гл-107"/>
    <x v="0"/>
    <x v="7"/>
    <s v="Другое оборудование"/>
    <n v="0"/>
    <s v="Кафедра высшей математики"/>
    <s v="Низкое"/>
  </r>
  <r>
    <s v="MMC-1055"/>
    <s v="Не запускается мультимедийное ПО в аудитории Гл-109"/>
    <s v="Открыта"/>
    <x v="1"/>
    <d v="2025-10-17T14:34:00"/>
    <s v="Гл-109"/>
    <x v="0"/>
    <x v="5"/>
    <s v="Сетевое оборудование"/>
    <n v="0"/>
    <s v="Кафедра истории России"/>
    <s v="Среднее"/>
  </r>
  <r>
    <s v="MMC-1071"/>
    <s v="Сложность с настройкой источников в аудитории Гл-206"/>
    <s v="Закрыта"/>
    <x v="1"/>
    <d v="2025-10-18T14:06:00"/>
    <s v="Гл-206"/>
    <x v="1"/>
    <x v="3"/>
    <s v="Другое оборудование"/>
    <n v="37.700000000000003"/>
    <s v="Кафедра общей физики"/>
    <s v="Среднее"/>
  </r>
  <r>
    <s v="MMC-1046"/>
    <s v="Проблема: Нет изображения на экране (аудитория Гл-101)"/>
    <s v="Закрыта"/>
    <x v="0"/>
    <d v="2025-10-18T15:43:00"/>
    <s v="Гл-101"/>
    <x v="0"/>
    <x v="1"/>
    <s v="Сетевое оборудование"/>
    <n v="47"/>
    <s v="Кафедра информатики и вычислительной техники"/>
    <s v="Высокое"/>
  </r>
  <r>
    <s v="MMC-1031"/>
    <s v="Аудитория Гл-102: Не подключается ноутбук через HDMI"/>
    <s v="Решена"/>
    <x v="1"/>
    <d v="2025-10-18T18:24:00"/>
    <s v="Гл-102"/>
    <x v="0"/>
    <x v="4"/>
    <s v="Проектор"/>
    <n v="47.9"/>
    <s v="Кафедра безопасности информационных систем"/>
    <s v="Критичное"/>
  </r>
  <r>
    <s v="MMC-1058"/>
    <s v="Нет изображения на экране. Аудитория: Гл-102"/>
    <s v="Закрыта"/>
    <x v="1"/>
    <d v="2025-10-19T08:50:00"/>
    <s v="Гл-102"/>
    <x v="0"/>
    <x v="1"/>
    <s v="Другое оборудование"/>
    <n v="19"/>
    <s v="Кафедра инженерной графики"/>
    <s v="Среднее"/>
  </r>
  <r>
    <s v="MMC-1015"/>
    <s v="Неисправность оборудования в Гл-115: Не могу включить проектор"/>
    <s v="Открыта"/>
    <x v="0"/>
    <d v="2025-10-20T12:35:00"/>
    <s v="Гл-115"/>
    <x v="0"/>
    <x v="0"/>
    <s v="ПО"/>
    <n v="0"/>
    <s v="Кафедра экономики и менеджмента"/>
    <s v="Высокое"/>
  </r>
  <r>
    <s v="MMC-1034"/>
    <s v="Неисправность оборудования в Гл-101: Не подключается ноутбук через HDMI"/>
    <s v="Решена"/>
    <x v="1"/>
    <d v="2025-10-20T13:15:00"/>
    <s v="Гл-101"/>
    <x v="0"/>
    <x v="4"/>
    <s v="Другое оборудование"/>
    <n v="12.7"/>
    <s v="Кафедра иностранных языков"/>
    <s v="Критичное"/>
  </r>
  <r>
    <s v="MMC-1036"/>
    <s v="Не могу включить проектор. Аудитория: Гл-114"/>
    <s v="Решена"/>
    <x v="0"/>
    <d v="2025-10-20T18:50:00"/>
    <s v="Гл-114"/>
    <x v="0"/>
    <x v="0"/>
    <s v="Проектор"/>
    <n v="9.1"/>
    <s v="Кафедра иностранных языков"/>
    <s v="Среднее"/>
  </r>
  <r>
    <s v="MMC-1090"/>
    <s v="Неисправность оборудования в Гл-211: Нет изображения на экране"/>
    <s v="Решена"/>
    <x v="3"/>
    <d v="2025-10-21T11:06:00"/>
    <s v="Гл-211"/>
    <x v="1"/>
    <x v="1"/>
    <s v="Другое оборудование"/>
    <n v="6"/>
    <s v="Кафедра философии и социологии"/>
    <s v="Критичное"/>
  </r>
  <r>
    <s v="MMC-1008"/>
    <s v="Не запускается мультимедийное ПО. Аудитория: Гл-102"/>
    <s v="Решена"/>
    <x v="1"/>
    <d v="2025-10-21T14:53:00"/>
    <s v="Гл-102"/>
    <x v="0"/>
    <x v="5"/>
    <s v="Проектор"/>
    <n v="1.4"/>
    <s v="Кафедра инженерной графики"/>
    <s v="Низкое"/>
  </r>
  <r>
    <s v="MMC-1044"/>
    <s v="Аудитория Гл-108: Нет звука в аудиосистеме"/>
    <s v="Решена"/>
    <x v="1"/>
    <d v="2025-10-21T16:33:00"/>
    <s v="Гл-108"/>
    <x v="0"/>
    <x v="8"/>
    <s v="Проектор"/>
    <n v="9.9"/>
    <s v="Кафедра органической химии"/>
    <s v="Среднее"/>
  </r>
  <r>
    <s v="MMC-1099"/>
    <s v="Аудитория Гл-201: Сложность с настройкой источников"/>
    <s v="Решена"/>
    <x v="1"/>
    <d v="2025-10-22T11:24:00"/>
    <s v="Гл-201"/>
    <x v="1"/>
    <x v="3"/>
    <s v="ПО"/>
    <n v="21.4"/>
    <s v="Кафедра общей физики"/>
    <s v="Низкое"/>
  </r>
  <r>
    <s v="MMC-1014"/>
    <s v="Неисправность оборудования в Гл-114: Нет изображения на экране"/>
    <s v="В работе"/>
    <x v="0"/>
    <d v="2025-10-22T17:51:00"/>
    <s v="Гл-114"/>
    <x v="0"/>
    <x v="1"/>
    <s v="ПО"/>
    <n v="0"/>
    <s v="Кафедра иностранных языков"/>
    <s v="Низкое"/>
  </r>
  <r>
    <s v="MMC-1027"/>
    <s v="Аудитория Гл-110: Не могу включить проектор"/>
    <s v="Открыта"/>
    <x v="1"/>
    <d v="2025-10-22T18:35:00"/>
    <s v="Гл-110"/>
    <x v="0"/>
    <x v="0"/>
    <s v="Компьютер"/>
    <n v="0"/>
    <s v="Кафедра инженерной графики"/>
    <s v="Критичное"/>
  </r>
  <r>
    <s v="MMC-1085"/>
    <s v="Неисправность оборудования в Гл-210: Другая проблема"/>
    <s v="Решена"/>
    <x v="3"/>
    <d v="2025-10-23T12:43:00"/>
    <s v="Гл-210"/>
    <x v="1"/>
    <x v="2"/>
    <s v="Другое оборудование"/>
    <n v="44.1"/>
    <s v="Кафедра общей физики"/>
    <s v="Критичное"/>
  </r>
  <r>
    <s v="MMC-1007"/>
    <s v="Не подключается ноутбук через HDMI в аудитории Гл-111"/>
    <s v="Решена"/>
    <x v="1"/>
    <d v="2025-10-23T13:15:00"/>
    <s v="Гл-111"/>
    <x v="0"/>
    <x v="4"/>
    <s v="ПО"/>
    <n v="9.6999999999999993"/>
    <s v="Кафедра иностранных языков"/>
    <s v="Высокое"/>
  </r>
  <r>
    <s v="MMC-1069"/>
    <s v="Аудитория Гл-212: Проблема с переключением режимов"/>
    <s v="Решена"/>
    <x v="0"/>
    <d v="2025-10-23T13:36:00"/>
    <s v="Гл-212"/>
    <x v="1"/>
    <x v="6"/>
    <s v="Компьютер"/>
    <n v="37.200000000000003"/>
    <s v="Кафедра философии и социологии"/>
    <s v="Низкое"/>
  </r>
  <r>
    <s v="MMC-1092"/>
    <s v="Требуется инструкция по использованию. Аудитория: Гл-202"/>
    <s v="Закрыта"/>
    <x v="3"/>
    <d v="2025-10-23T16:40:00"/>
    <s v="Гл-202"/>
    <x v="1"/>
    <x v="7"/>
    <s v="Проектор"/>
    <n v="48.3"/>
    <s v="Кафедра общей физики"/>
    <s v="Низкое"/>
  </r>
  <r>
    <s v="MMC-1070"/>
    <s v="Не подключается ноутбук через HDMI. Аудитория: Гл-203"/>
    <s v="Закрыта"/>
    <x v="1"/>
    <d v="2025-10-23T16:44:00"/>
    <s v="Гл-203"/>
    <x v="1"/>
    <x v="4"/>
    <s v="Проектор"/>
    <n v="40.799999999999997"/>
    <s v="Кафедра безопасности информационных систем"/>
    <s v="Критичное"/>
  </r>
  <r>
    <s v="MMC-1077"/>
    <s v="Аудитория Гл-210: Сложность с настройкой источников"/>
    <s v="В работе"/>
    <x v="1"/>
    <d v="2025-10-23T17:52:00"/>
    <s v="Гл-210"/>
    <x v="1"/>
    <x v="3"/>
    <s v="Другое оборудование"/>
    <n v="0"/>
    <s v="Кафедра философии и социологии"/>
    <s v="Низкое"/>
  </r>
  <r>
    <s v="MMC-1086"/>
    <s v="Другая проблема в аудитории Гл-205"/>
    <s v="Закрыта"/>
    <x v="0"/>
    <d v="2025-10-23T18:03:00"/>
    <s v="Гл-205"/>
    <x v="1"/>
    <x v="2"/>
    <s v="Другое оборудование"/>
    <n v="25.4"/>
    <s v="Кафедра иностранных языков"/>
    <s v="Среднее"/>
  </r>
  <r>
    <s v="MMC-1043"/>
    <s v="Не могу включить проектор. Аудитория: Гл-110"/>
    <s v="В работе"/>
    <x v="0"/>
    <d v="2025-10-24T17:15:00"/>
    <s v="Гл-110"/>
    <x v="0"/>
    <x v="0"/>
    <s v="Проектор"/>
    <n v="0"/>
    <s v="Кафедра информатики и вычислительной техники"/>
    <s v="Высокое"/>
  </r>
  <r>
    <s v="MMC-1066"/>
    <s v="Неисправность оборудования в Гл-213: Не запускается мультимедийное ПО"/>
    <s v="В работе"/>
    <x v="1"/>
    <d v="2025-10-25T17:06:00"/>
    <s v="Гл-213"/>
    <x v="1"/>
    <x v="5"/>
    <s v="Компьютер"/>
    <n v="0"/>
    <s v="Кафедра экономики и менеджмента"/>
    <s v="Критичное"/>
  </r>
  <r>
    <s v="MMC-1076"/>
    <s v="Другая проблема. Аудитория: Гл-210"/>
    <s v="Решена"/>
    <x v="1"/>
    <d v="2025-10-26T08:14:00"/>
    <s v="Гл-210"/>
    <x v="1"/>
    <x v="2"/>
    <s v="Компьютер"/>
    <n v="20.8"/>
    <s v="Кафедра инженерной графики"/>
    <s v="Низкое"/>
  </r>
  <r>
    <s v="MMC-1052"/>
    <s v="Неисправность оборудования в Гл-103: Не могу включить проектор"/>
    <s v="Решена"/>
    <x v="1"/>
    <d v="2025-10-26T09:32:00"/>
    <s v="Гл-103"/>
    <x v="0"/>
    <x v="0"/>
    <s v="Другое оборудование"/>
    <n v="23.1"/>
    <s v="Кафедра высшей математики"/>
    <s v="Критичное"/>
  </r>
  <r>
    <s v="MMC-1050"/>
    <s v="Нет звука в аудиосистеме в аудитории Гл-112"/>
    <s v="В работе"/>
    <x v="1"/>
    <d v="2025-10-26T13:10:00"/>
    <s v="Гл-112"/>
    <x v="0"/>
    <x v="8"/>
    <s v="Проектор"/>
    <n v="0"/>
    <s v="Кафедра истории России"/>
    <s v="Критичное"/>
  </r>
  <r>
    <s v="MMC-1048"/>
    <s v="Проблема: Нет изображения на экране (аудитория Гл-107)"/>
    <s v="Решена"/>
    <x v="0"/>
    <d v="2025-10-26T16:20:00"/>
    <s v="Гл-107"/>
    <x v="0"/>
    <x v="1"/>
    <s v="Компьютер"/>
    <n v="27.1"/>
    <s v="Кафедра истории России"/>
    <s v="Высокое"/>
  </r>
  <r>
    <s v="MMC-1067"/>
    <s v="Неисправность оборудования в Гл-201: Не подключается ноутбук через HDMI"/>
    <s v="В работе"/>
    <x v="2"/>
    <d v="2025-10-27T11:08:00"/>
    <s v="Гл-201"/>
    <x v="1"/>
    <x v="4"/>
    <s v="Другое оборудование"/>
    <n v="0"/>
    <s v="Кафедра высшей математики"/>
    <s v="Высокое"/>
  </r>
  <r>
    <s v="MMC-1084"/>
    <s v="Другая проблема. Аудитория: Гл-208"/>
    <s v="Решена"/>
    <x v="1"/>
    <d v="2025-10-27T11:45:00"/>
    <s v="Гл-208"/>
    <x v="1"/>
    <x v="2"/>
    <s v="ПО"/>
    <n v="27"/>
    <s v="Кафедра безопасности информационных систем"/>
    <s v="Высокое"/>
  </r>
  <r>
    <s v="MMC-1075"/>
    <s v="Проблема: Не запускается мультимедийное ПО (аудитория Гл-215)"/>
    <s v="Открыта"/>
    <x v="0"/>
    <d v="2025-10-27T11:53:00"/>
    <s v="Гл-215"/>
    <x v="1"/>
    <x v="5"/>
    <s v="Компьютер"/>
    <n v="0"/>
    <s v="Кафедра иностранных языков"/>
    <s v="Высокое"/>
  </r>
  <r>
    <s v="MMC-1073"/>
    <s v="Требуется инструкция по использованию. Аудитория: Гл-215"/>
    <s v="Решена"/>
    <x v="1"/>
    <d v="2025-10-28T08:32:00"/>
    <s v="Гл-215"/>
    <x v="1"/>
    <x v="7"/>
    <s v="Сетевое оборудование"/>
    <n v="34.9"/>
    <s v="Кафедра общей физики"/>
    <s v="Критичное"/>
  </r>
  <r>
    <s v="MMC-1040"/>
    <s v="Не запускается мультимедийное ПО в аудитории Гл-101"/>
    <s v="В работе"/>
    <x v="1"/>
    <d v="2025-10-28T09:27:00"/>
    <s v="Гл-101"/>
    <x v="0"/>
    <x v="5"/>
    <s v="Компьютер"/>
    <n v="0"/>
    <s v="Кафедра экономики и менеджмента"/>
    <s v="Критичное"/>
  </r>
  <r>
    <s v="MMC-1098"/>
    <s v="Проблема: Нет изображения на экране (аудитория Гл-215)"/>
    <s v="Решена"/>
    <x v="0"/>
    <d v="2025-10-30T11:31:00"/>
    <s v="Гл-215"/>
    <x v="1"/>
    <x v="1"/>
    <s v="ПО"/>
    <n v="16.8"/>
    <s v="Кафедра органической химии"/>
    <s v="Низкое"/>
  </r>
  <r>
    <s v="MMC-1045"/>
    <s v="Нет изображения на экране. Аудитория: Гл-109"/>
    <s v="В работе"/>
    <x v="0"/>
    <d v="2025-10-30T12:44:00"/>
    <s v="Гл-109"/>
    <x v="0"/>
    <x v="1"/>
    <s v="Проектор"/>
    <n v="0"/>
    <s v="Кафедра органической химии"/>
    <s v="Низкое"/>
  </r>
  <r>
    <s v="MMC-1063"/>
    <s v="Нет звука в аудиосистеме в аудитории Гл-202"/>
    <s v="Решена"/>
    <x v="0"/>
    <d v="2025-10-30T14:07:00"/>
    <s v="Гл-202"/>
    <x v="1"/>
    <x v="8"/>
    <s v="Компьютер"/>
    <n v="39"/>
    <s v="Кафедра общей физики"/>
    <s v="Высокое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1A7EF-1112-4271-999C-A2751343ECA7}" name="Сводная таблица3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25:D36" firstHeaderRow="1" firstDataRow="2" firstDataCol="1"/>
  <pivotFields count="12">
    <pivotField dataField="1" showAll="0"/>
    <pivotField showAll="0"/>
    <pivotField showAll="0"/>
    <pivotField showAll="0"/>
    <pivotField numFmtId="22"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10">
        <item x="2"/>
        <item x="5"/>
        <item x="0"/>
        <item x="4"/>
        <item x="8"/>
        <item x="1"/>
        <item x="6"/>
        <item x="3"/>
        <item x="7"/>
        <item t="default"/>
      </items>
    </pivotField>
    <pivotField showAll="0"/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Количество по полю Issue Key" fld="0" subtotal="count" baseField="0" baseItem="0"/>
  </dataFields>
  <formats count="20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6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7" type="button" dataOnly="0" labelOnly="1" outline="0" axis="axisRow" fieldPosition="0"/>
    </format>
    <format dxfId="43">
      <pivotArea dataOnly="0" labelOnly="1" fieldPosition="0">
        <references count="1">
          <reference field="7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6" count="0"/>
        </references>
      </pivotArea>
    </format>
    <format dxfId="40">
      <pivotArea dataOnly="0" labelOnly="1" grandCol="1" outline="0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6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7" type="button" dataOnly="0" labelOnly="1" outline="0" axis="axisRow" fieldPosition="0"/>
    </format>
    <format dxfId="33">
      <pivotArea dataOnly="0" labelOnly="1" fieldPosition="0">
        <references count="1">
          <reference field="7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6" count="0"/>
        </references>
      </pivotArea>
    </format>
    <format dxfId="30">
      <pivotArea dataOnly="0" labelOnly="1" grandCol="1" outline="0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74A0D-929C-463D-A07C-6AF700D9CC40}" name="Сводная таблица4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10:D21" firstHeaderRow="1" firstDataRow="2" firstDataCol="1"/>
  <pivotFields count="12">
    <pivotField dataField="1" showAll="0"/>
    <pivotField showAll="0"/>
    <pivotField showAll="0"/>
    <pivotField showAll="0"/>
    <pivotField numFmtId="22"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10">
        <item x="2"/>
        <item x="5"/>
        <item x="0"/>
        <item x="4"/>
        <item x="8"/>
        <item x="1"/>
        <item x="6"/>
        <item x="3"/>
        <item x="7"/>
        <item t="default"/>
      </items>
    </pivotField>
    <pivotField showAll="0"/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Количество по полю Issue Key" fld="0" subtotal="count" baseField="7" baseItem="0"/>
  </dataFields>
  <formats count="20"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6" type="button" dataOnly="0" labelOnly="1" outline="0" axis="axisCol" fieldPosition="0"/>
    </format>
    <format dxfId="65">
      <pivotArea type="topRight" dataOnly="0" labelOnly="1" outline="0" fieldPosition="0"/>
    </format>
    <format dxfId="64">
      <pivotArea field="7" type="button" dataOnly="0" labelOnly="1" outline="0" axis="axisRow" fieldPosition="0"/>
    </format>
    <format dxfId="63">
      <pivotArea dataOnly="0" labelOnly="1" fieldPosition="0">
        <references count="1">
          <reference field="7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1">
          <reference field="6" count="0"/>
        </references>
      </pivotArea>
    </format>
    <format dxfId="60">
      <pivotArea dataOnly="0" labelOnly="1" grandCol="1" outline="0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6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7" type="button" dataOnly="0" labelOnly="1" outline="0" axis="axisRow" fieldPosition="0"/>
    </format>
    <format dxfId="53">
      <pivotArea dataOnly="0" labelOnly="1" fieldPosition="0">
        <references count="1">
          <reference field="7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6" count="0"/>
        </references>
      </pivotArea>
    </format>
    <format dxfId="5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11F07-1FF6-40AE-B768-663DE8450E9B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C6" firstHeaderRow="0" firstDataRow="1" firstDataCol="1" rowPageCount="1" colPageCount="1"/>
  <pivotFields count="12">
    <pivotField dataField="1" showAll="0"/>
    <pivotField showAll="0"/>
    <pivotField showAll="0"/>
    <pivotField axis="axisPage" multipleItemSelectionAllowed="1" showAll="0">
      <items count="5">
        <item x="3"/>
        <item x="2"/>
        <item x="0"/>
        <item x="1"/>
        <item t="default"/>
      </items>
    </pivotField>
    <pivotField numFmtId="22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Количество по полю Issue Key" fld="0" subtotal="count" baseField="0" baseItem="0"/>
    <dataField name="Среднее по полю Время решения (часы)" fld="9" subtotal="average" baseField="6" baseItem="0"/>
  </dataFields>
  <formats count="12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6" type="button" dataOnly="0" labelOnly="1" outline="0" axis="axisRow" fieldPosition="0"/>
    </format>
    <format dxfId="78">
      <pivotArea dataOnly="0" labelOnly="1" fieldPosition="0">
        <references count="1">
          <reference field="6" count="0"/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6" type="button" dataOnly="0" labelOnly="1" outline="0" axis="axisRow" fieldPosition="0"/>
    </format>
    <format dxfId="72">
      <pivotArea dataOnly="0" labelOnly="1" fieldPosition="0">
        <references count="1">
          <reference field="6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3E136-B433-482D-82E1-E51E36EE99AC}" name="Сводная таблица6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13:D24" firstHeaderRow="1" firstDataRow="2" firstDataCol="1"/>
  <pivotFields count="12">
    <pivotField dataField="1" showAll="0"/>
    <pivotField showAll="0"/>
    <pivotField showAll="0"/>
    <pivotField showAll="0"/>
    <pivotField numFmtId="22"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10">
        <item x="2"/>
        <item x="5"/>
        <item x="0"/>
        <item x="4"/>
        <item x="8"/>
        <item x="1"/>
        <item x="6"/>
        <item x="3"/>
        <item x="7"/>
        <item t="default"/>
      </items>
    </pivotField>
    <pivotField showAll="0"/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Количество по полю Issue Key" fld="0" subtotal="count" baseField="0" baseItem="0"/>
  </dataFields>
  <formats count="30"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6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7" type="button" dataOnly="0" labelOnly="1" outline="0" axis="axisRow" fieldPosition="0"/>
    </format>
    <format dxfId="23">
      <pivotArea dataOnly="0" labelOnly="1" fieldPosition="0">
        <references count="1">
          <reference field="7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6" count="0"/>
        </references>
      </pivotArea>
    </format>
    <format dxfId="20">
      <pivotArea dataOnly="0" labelOnly="1" grandCol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6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7" type="button" dataOnly="0" labelOnly="1" outline="0" axis="axisRow" fieldPosition="0"/>
    </format>
    <format dxfId="13">
      <pivotArea dataOnly="0" labelOnly="1" fieldPosition="0">
        <references count="1">
          <reference field="7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6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6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7" type="button" dataOnly="0" labelOnly="1" outline="0" axis="axisRow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Col="1" outline="0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0DA5276-2AD4-433C-83AC-D5EA49F46044}" autoFormatId="16" applyNumberFormats="0" applyBorderFormats="0" applyFontFormats="0" applyPatternFormats="0" applyAlignmentFormats="0" applyWidthHeightFormats="0">
  <queryTableRefresh nextId="39">
    <queryTableFields count="38">
      <queryTableField id="1" name="Issue Key" tableColumnId="1"/>
      <queryTableField id="2" name="Issue Type" tableColumnId="2"/>
      <queryTableField id="3" name="Summary" tableColumnId="3"/>
      <queryTableField id="4" name="Description" tableColumnId="4"/>
      <queryTableField id="5" name="Status" tableColumnId="5"/>
      <queryTableField id="6" name="Priority" tableColumnId="6"/>
      <queryTableField id="7" name="Resolution" tableColumnId="7"/>
      <queryTableField id="8" name="Created" tableColumnId="8"/>
      <queryTableField id="9" name="Updated" tableColumnId="9"/>
      <queryTableField id="10" name="Resolved" tableColumnId="10"/>
      <queryTableField id="11" name="Component/s" tableColumnId="11"/>
      <queryTableField id="12" name="Affects Version/s" tableColumnId="12"/>
      <queryTableField id="13" name="Fix Version/s" tableColumnId="13"/>
      <queryTableField id="14" name="Reporter" tableColumnId="14"/>
      <queryTableField id="15" name="Assignee" tableColumnId="15"/>
      <queryTableField id="16" name="Votes" tableColumnId="16"/>
      <queryTableField id="17" name="Watchers" tableColumnId="17"/>
      <queryTableField id="18" name="Original Estimate" tableColumnId="18"/>
      <queryTableField id="19" name="Remaining Estimate" tableColumnId="19"/>
      <queryTableField id="20" name="Time Spent" tableColumnId="20"/>
      <queryTableField id="21" name="Work Ratio" tableColumnId="21"/>
      <queryTableField id="22" name="Аудитория" tableColumnId="22"/>
      <queryTableField id="23" name="Группа A/B теста" tableColumnId="23"/>
      <queryTableField id="24" name="Категория проблемы" tableColumnId="24"/>
      <queryTableField id="25" name="Кафедра" tableColumnId="25"/>
      <queryTableField id="26" name="Влияние на процесс" tableColumnId="26"/>
      <queryTableField id="27" name="Источник заявки" tableColumnId="27"/>
      <queryTableField id="28" name="Время решения (часы)" tableColumnId="28"/>
      <queryTableField id="29" name="Комментарии" tableColumnId="29"/>
      <queryTableField id="30" name="Labels" tableColumnId="30"/>
      <queryTableField id="31" name="Environment" tableColumnId="31"/>
      <queryTableField id="32" name="Linked Issues" tableColumnId="32"/>
      <queryTableField id="33" name="Created Date" tableColumnId="33"/>
      <queryTableField id="34" name="Resolved Date" tableColumnId="34"/>
      <queryTableField id="35" name="Due Date" tableColumnId="35"/>
      <queryTableField id="36" name="Количество повторов" tableColumnId="36"/>
      <queryTableField id="37" name="Сложность решения" tableColumnId="37"/>
      <queryTableField id="38" name="Тип вмешательства" tableColumnId="3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57A9881-5F79-471C-A4CA-E7DEC3EF21A1}" autoFormatId="16" applyNumberFormats="0" applyBorderFormats="0" applyFontFormats="0" applyPatternFormats="0" applyAlignmentFormats="0" applyWidthHeightFormats="0">
  <queryTableRefresh nextId="14">
    <queryTableFields count="12">
      <queryTableField id="1" name="Issue Key" tableColumnId="1"/>
      <queryTableField id="2" name="Summary" tableColumnId="2"/>
      <queryTableField id="3" name="Status" tableColumnId="3"/>
      <queryTableField id="4" name="Priority" tableColumnId="4"/>
      <queryTableField id="5" name="Created" tableColumnId="5"/>
      <queryTableField id="6" name="Аудитория" tableColumnId="6"/>
      <queryTableField id="7" name="Группа A/B теста" tableColumnId="7"/>
      <queryTableField id="8" name="Категория проблемы" tableColumnId="8"/>
      <queryTableField id="9" name="Component/s" tableColumnId="9"/>
      <queryTableField id="10" name="Время решения (часы)" tableColumnId="10"/>
      <queryTableField id="11" name="Кафедра" tableColumnId="11"/>
      <queryTableField id="12" name="Влияние на процесс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EDD9B3-768A-4561-9F22-18A02D4F3A23}" autoFormatId="16" applyNumberFormats="0" applyBorderFormats="0" applyFontFormats="0" applyPatternFormats="0" applyAlignmentFormats="0" applyWidthHeightFormats="0">
  <queryTableRefresh nextId="5">
    <queryTableFields count="4">
      <queryTableField id="1" name="Аудитория" tableColumnId="1"/>
      <queryTableField id="2" name="Группа A/B теста" tableColumnId="2"/>
      <queryTableField id="3" name="Количество заявок" tableColumnId="3"/>
      <queryTableField id="4" name="Среднее время решения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E73BA3F-5812-4166-A681-EAB0D86132D8}" autoFormatId="16" applyNumberFormats="0" applyBorderFormats="0" applyFontFormats="0" applyPatternFormats="0" applyAlignmentFormats="0" applyWidthHeightFormats="0">
  <queryTableRefresh nextId="4">
    <queryTableFields count="3">
      <queryTableField id="1" name="Дата" tableColumnId="1"/>
      <queryTableField id="2" name="A" tableColumnId="2"/>
      <queryTableField id="3" name="B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BFE032-5786-44EA-9DDB-C4E45E3B078F}" name="jira_full_export" displayName="jira_full_export" ref="A1:AL101" tableType="queryTable" totalsRowShown="0">
  <autoFilter ref="A1:AL101" xr:uid="{FDBFE032-5786-44EA-9DDB-C4E45E3B078F}"/>
  <tableColumns count="38">
    <tableColumn id="1" xr3:uid="{2CEA92F4-39CE-4421-88DD-33D8812C885A}" uniqueName="1" name="Issue Key" queryTableFieldId="1" dataDxfId="133"/>
    <tableColumn id="2" xr3:uid="{ADDB1EFF-7EB8-4D9E-A7CA-076D823DAD0C}" uniqueName="2" name="Issue Type" queryTableFieldId="2" dataDxfId="132"/>
    <tableColumn id="3" xr3:uid="{6119E2E1-23A6-4AF5-878B-1F4BB8E7958C}" uniqueName="3" name="Summary" queryTableFieldId="3" dataDxfId="131"/>
    <tableColumn id="4" xr3:uid="{C5332BED-388F-404D-A60A-4200B33AFC3E}" uniqueName="4" name="Description" queryTableFieldId="4" dataDxfId="130"/>
    <tableColumn id="5" xr3:uid="{7223C2CB-140E-496D-AB7C-D0B654EB57D0}" uniqueName="5" name="Status" queryTableFieldId="5" dataDxfId="129"/>
    <tableColumn id="6" xr3:uid="{594C6403-D554-4A46-BFFF-D89556250B14}" uniqueName="6" name="Priority" queryTableFieldId="6" dataDxfId="128"/>
    <tableColumn id="7" xr3:uid="{F4ED9CD3-0EDF-4115-B3CD-336989139533}" uniqueName="7" name="Resolution" queryTableFieldId="7" dataDxfId="127"/>
    <tableColumn id="8" xr3:uid="{59465544-E91F-4139-A00B-81E5D47EF3E6}" uniqueName="8" name="Created" queryTableFieldId="8" dataDxfId="126"/>
    <tableColumn id="9" xr3:uid="{69FFFE32-4D3A-45B5-A474-0756B9DFCA36}" uniqueName="9" name="Updated" queryTableFieldId="9" dataDxfId="125"/>
    <tableColumn id="10" xr3:uid="{0896474F-A4E3-49A2-B53C-D781EECB2C09}" uniqueName="10" name="Resolved" queryTableFieldId="10" dataDxfId="124"/>
    <tableColumn id="11" xr3:uid="{0B518A39-D181-48B7-9DDC-51DF50194059}" uniqueName="11" name="Component/s" queryTableFieldId="11" dataDxfId="123"/>
    <tableColumn id="12" xr3:uid="{4327E2F6-5324-4FEE-A94F-B880C3F8EA9B}" uniqueName="12" name="Affects Version/s" queryTableFieldId="12" dataDxfId="122"/>
    <tableColumn id="13" xr3:uid="{ACAFAF24-802B-4F25-9E12-6FF8C5294725}" uniqueName="13" name="Fix Version/s" queryTableFieldId="13" dataDxfId="121"/>
    <tableColumn id="14" xr3:uid="{BE7AFCC4-74A7-4D60-A39A-AD3525AAFB7A}" uniqueName="14" name="Reporter" queryTableFieldId="14" dataDxfId="120"/>
    <tableColumn id="15" xr3:uid="{07225BF3-0C46-4450-8134-9BA3F37773AD}" uniqueName="15" name="Assignee" queryTableFieldId="15" dataDxfId="119"/>
    <tableColumn id="16" xr3:uid="{B32845EB-1DB4-4190-B29F-71C2C1685768}" uniqueName="16" name="Votes" queryTableFieldId="16"/>
    <tableColumn id="17" xr3:uid="{8AA64016-B54E-4FDC-B59C-968F5DE697E2}" uniqueName="17" name="Watchers" queryTableFieldId="17" dataDxfId="118"/>
    <tableColumn id="18" xr3:uid="{9C14CA66-C522-4507-8271-A979A63E2BBA}" uniqueName="18" name="Original Estimate" queryTableFieldId="18" dataDxfId="117"/>
    <tableColumn id="19" xr3:uid="{0EE4CE34-9A67-44CD-AA44-189FDAAD34FD}" uniqueName="19" name="Remaining Estimate" queryTableFieldId="19" dataDxfId="116"/>
    <tableColumn id="20" xr3:uid="{154010A2-2110-4F9D-884E-D022FD483751}" uniqueName="20" name="Time Spent" queryTableFieldId="20" dataDxfId="115"/>
    <tableColumn id="21" xr3:uid="{F5B3C97B-0AA3-4389-A625-EBD2B4DC7ED6}" uniqueName="21" name="Work Ratio" queryTableFieldId="21"/>
    <tableColumn id="22" xr3:uid="{8C2F6CAD-BE1C-4B96-81A5-8F6354C6A724}" uniqueName="22" name="Аудитория" queryTableFieldId="22" dataDxfId="114"/>
    <tableColumn id="23" xr3:uid="{77DE4F5C-F4E4-4E30-97DA-807363260694}" uniqueName="23" name="Группа A/B теста" queryTableFieldId="23" dataDxfId="113"/>
    <tableColumn id="24" xr3:uid="{E547B87B-0152-4C0C-B84C-ACA14E61B056}" uniqueName="24" name="Категория проблемы" queryTableFieldId="24" dataDxfId="112"/>
    <tableColumn id="25" xr3:uid="{BD890CC0-FA0C-460F-9EC5-0D3DE5251517}" uniqueName="25" name="Кафедра" queryTableFieldId="25" dataDxfId="111"/>
    <tableColumn id="26" xr3:uid="{B083FAA0-AD00-465F-A957-A03DE0C6F27A}" uniqueName="26" name="Влияние на процесс" queryTableFieldId="26" dataDxfId="110"/>
    <tableColumn id="27" xr3:uid="{4EB725DB-E9F1-4B33-90FE-E30713F5FAA2}" uniqueName="27" name="Источник заявки" queryTableFieldId="27" dataDxfId="109"/>
    <tableColumn id="28" xr3:uid="{AC85740D-24D7-453A-9EC3-9E492C744BF1}" uniqueName="28" name="Время решения (часы)" queryTableFieldId="28" dataDxfId="108"/>
    <tableColumn id="29" xr3:uid="{D81ED933-0E9E-452E-A9E1-24DE0B3F0470}" uniqueName="29" name="Комментарии" queryTableFieldId="29" dataDxfId="107"/>
    <tableColumn id="30" xr3:uid="{4E1B2CC2-34A6-482D-9915-A57775CA7910}" uniqueName="30" name="Labels" queryTableFieldId="30" dataDxfId="106"/>
    <tableColumn id="31" xr3:uid="{09198592-648C-4503-A2B2-5F687BC518BE}" uniqueName="31" name="Environment" queryTableFieldId="31" dataDxfId="105"/>
    <tableColumn id="32" xr3:uid="{34479160-A2E3-4B86-9CCB-1D8D8DBC7E62}" uniqueName="32" name="Linked Issues" queryTableFieldId="32" dataDxfId="104"/>
    <tableColumn id="33" xr3:uid="{8A1997F8-CDD5-40EC-9307-CBFA87AC1704}" uniqueName="33" name="Created Date" queryTableFieldId="33" dataDxfId="103"/>
    <tableColumn id="34" xr3:uid="{4FE606D3-7771-4C74-91B0-761DB1C54366}" uniqueName="34" name="Resolved Date" queryTableFieldId="34" dataDxfId="102"/>
    <tableColumn id="35" xr3:uid="{00E5E26D-0E54-43D9-9EB5-A4CB5B9E8B99}" uniqueName="35" name="Due Date" queryTableFieldId="35" dataDxfId="101"/>
    <tableColumn id="36" xr3:uid="{EB41333D-8E2F-47A2-8180-DEF2C82196EF}" uniqueName="36" name="Количество повторов" queryTableFieldId="36"/>
    <tableColumn id="37" xr3:uid="{ABA5503E-49ED-43F5-91E2-3F1BC09C6E40}" uniqueName="37" name="Сложность решения" queryTableFieldId="37" dataDxfId="100"/>
    <tableColumn id="38" xr3:uid="{99BBA190-966B-4EDF-8EBA-FB3A2274322F}" uniqueName="38" name="Тип вмешательства" queryTableFieldId="38" dataDxfId="9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640D67-00F6-4E62-8C3E-34C1C3F13FD8}" name="jira_simple_export" displayName="jira_simple_export" ref="A1:L101" tableType="queryTable" totalsRowShown="0" dataDxfId="98">
  <autoFilter ref="A1:L101" xr:uid="{92640D67-00F6-4E62-8C3E-34C1C3F13FD8}"/>
  <tableColumns count="12">
    <tableColumn id="1" xr3:uid="{CB4267BF-99C3-4823-BA7E-4867441FA641}" uniqueName="1" name="Issue Key" queryTableFieldId="1" dataDxfId="97"/>
    <tableColumn id="2" xr3:uid="{EEB6CB09-5283-49B5-9A99-8118EAD13F2D}" uniqueName="2" name="Summary" queryTableFieldId="2" dataDxfId="96"/>
    <tableColumn id="3" xr3:uid="{9588D863-8DE0-4FE8-97C6-01C74AF480A7}" uniqueName="3" name="Status" queryTableFieldId="3" dataDxfId="95"/>
    <tableColumn id="4" xr3:uid="{FCD58260-5191-4225-B137-EAAD22F3D4EC}" uniqueName="4" name="Priority" queryTableFieldId="4" dataDxfId="94"/>
    <tableColumn id="5" xr3:uid="{75ECE029-2EC4-4517-B66F-074C3F62076E}" uniqueName="5" name="Created" queryTableFieldId="5" dataDxfId="93"/>
    <tableColumn id="6" xr3:uid="{40B38F55-29FC-40E5-8074-6416C30711DD}" uniqueName="6" name="Аудитория" queryTableFieldId="6" dataDxfId="92"/>
    <tableColumn id="7" xr3:uid="{0349A056-724F-4984-8B9A-400221D8D822}" uniqueName="7" name="Группа A/B теста" queryTableFieldId="7" dataDxfId="91"/>
    <tableColumn id="8" xr3:uid="{E5E4E52D-EF7E-473E-B171-9FB854719318}" uniqueName="8" name="Категория проблемы" queryTableFieldId="8" dataDxfId="90"/>
    <tableColumn id="9" xr3:uid="{F22073E8-5B80-40F0-9DBF-AAB7E73DBE1F}" uniqueName="9" name="Component/s" queryTableFieldId="9" dataDxfId="89"/>
    <tableColumn id="10" xr3:uid="{9614FBF7-EBF2-4748-9919-303007A6CE79}" uniqueName="10" name="Время решения (часы)" queryTableFieldId="10" dataDxfId="88"/>
    <tableColumn id="11" xr3:uid="{05CDB833-C56B-4C9E-B9E4-01787F25EB33}" uniqueName="11" name="Кафедра" queryTableFieldId="11" dataDxfId="87"/>
    <tableColumn id="12" xr3:uid="{D81B63AF-F1B8-4EA7-AFAF-51D2446A9E21}" uniqueName="12" name="Влияние на процесс" queryTableFieldId="12" dataDxfId="86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726BCD-E764-45AF-8B1E-1CCAD77FD506}" name="jira_aggregated_data" displayName="jira_aggregated_data" ref="A1:D29" tableType="queryTable" totalsRowShown="0">
  <autoFilter ref="A1:D29" xr:uid="{B5726BCD-E764-45AF-8B1E-1CCAD77FD506}"/>
  <tableColumns count="4">
    <tableColumn id="1" xr3:uid="{772EB074-52AE-4A99-B317-7863DCA6F80F}" uniqueName="1" name="Аудитория" queryTableFieldId="1" dataDxfId="85"/>
    <tableColumn id="2" xr3:uid="{0995BC52-CFB0-40DF-A48F-18847EFCB156}" uniqueName="2" name="Группа A/B теста" queryTableFieldId="2" dataDxfId="84"/>
    <tableColumn id="3" xr3:uid="{2E9E92D9-FE1B-4097-929C-883732E65D3C}" uniqueName="3" name="Количество заявок" queryTableFieldId="3"/>
    <tableColumn id="4" xr3:uid="{689A7C0B-A96C-4D08-9099-8EC59A1B7F5D}" uniqueName="4" name="Среднее время решения" queryTableFieldId="4" dataDxfId="8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5836C7-FAC6-45C8-AB43-81C29805B620}" name="jira_daily_stats" displayName="jira_daily_stats" ref="A1:C30" tableType="queryTable" totalsRowShown="0">
  <autoFilter ref="A1:C30" xr:uid="{A85836C7-FAC6-45C8-AB43-81C29805B620}"/>
  <tableColumns count="3">
    <tableColumn id="1" xr3:uid="{DAD78BA0-9DE0-486B-B80E-916AC7B7A7A9}" uniqueName="1" name="Дата" queryTableFieldId="1" dataDxfId="82"/>
    <tableColumn id="2" xr3:uid="{CECD9745-1FBC-4736-9B55-D583F91D3D03}" uniqueName="2" name="A" queryTableFieldId="2"/>
    <tableColumn id="3" xr3:uid="{534A3344-964C-427B-9522-171E3AC2DD3C}" uniqueName="3" name="B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A392-BA59-4EEB-BC4F-EC25FD15B80B}">
  <dimension ref="A1:AL101"/>
  <sheetViews>
    <sheetView topLeftCell="V10" workbookViewId="0"/>
  </sheetViews>
  <sheetFormatPr defaultRowHeight="15" x14ac:dyDescent="0.25"/>
  <cols>
    <col min="1" max="1" width="11.5703125" bestFit="1" customWidth="1"/>
    <col min="2" max="2" width="24" bestFit="1" customWidth="1"/>
    <col min="3" max="3" width="76.7109375" bestFit="1" customWidth="1"/>
    <col min="4" max="4" width="81.140625" bestFit="1" customWidth="1"/>
    <col min="5" max="5" width="9" bestFit="1" customWidth="1"/>
    <col min="6" max="6" width="9.85546875" bestFit="1" customWidth="1"/>
    <col min="7" max="7" width="12.85546875" bestFit="1" customWidth="1"/>
    <col min="8" max="10" width="15.28515625" bestFit="1" customWidth="1"/>
    <col min="11" max="11" width="22.7109375" bestFit="1" customWidth="1"/>
    <col min="12" max="12" width="18.7109375" bestFit="1" customWidth="1"/>
    <col min="13" max="13" width="14.85546875" bestFit="1" customWidth="1"/>
    <col min="14" max="14" width="13.85546875" bestFit="1" customWidth="1"/>
    <col min="15" max="15" width="14.5703125" bestFit="1" customWidth="1"/>
    <col min="16" max="16" width="8.42578125" bestFit="1" customWidth="1"/>
    <col min="17" max="17" width="16.5703125" bestFit="1" customWidth="1"/>
    <col min="18" max="18" width="18.5703125" bestFit="1" customWidth="1"/>
    <col min="19" max="19" width="21.140625" bestFit="1" customWidth="1"/>
    <col min="20" max="20" width="13.28515625" bestFit="1" customWidth="1"/>
    <col min="21" max="21" width="13.140625" bestFit="1" customWidth="1"/>
    <col min="22" max="22" width="13.28515625" bestFit="1" customWidth="1"/>
    <col min="23" max="23" width="18.5703125" bestFit="1" customWidth="1"/>
    <col min="24" max="24" width="39.5703125" bestFit="1" customWidth="1"/>
    <col min="25" max="25" width="48.140625" bestFit="1" customWidth="1"/>
    <col min="26" max="26" width="21.85546875" bestFit="1" customWidth="1"/>
    <col min="27" max="27" width="26.140625" bestFit="1" customWidth="1"/>
    <col min="28" max="28" width="24.7109375" bestFit="1" customWidth="1"/>
    <col min="29" max="29" width="67.7109375" bestFit="1" customWidth="1"/>
    <col min="30" max="30" width="15.85546875" bestFit="1" customWidth="1"/>
    <col min="31" max="31" width="22.140625" bestFit="1" customWidth="1"/>
    <col min="32" max="32" width="15" bestFit="1" customWidth="1"/>
    <col min="33" max="33" width="15.28515625" bestFit="1" customWidth="1"/>
    <col min="34" max="34" width="16.140625" bestFit="1" customWidth="1"/>
    <col min="35" max="35" width="11.42578125" bestFit="1" customWidth="1"/>
    <col min="36" max="36" width="23.140625" bestFit="1" customWidth="1"/>
    <col min="37" max="37" width="22.28515625" bestFit="1" customWidth="1"/>
    <col min="38" max="38" width="21.42578125" bestFit="1" customWidth="1"/>
  </cols>
  <sheetData>
    <row r="1" spans="1:38" x14ac:dyDescent="0.25">
      <c r="A1" t="s">
        <v>0</v>
      </c>
      <c r="B1" t="s">
        <v>378</v>
      </c>
      <c r="C1" t="s">
        <v>1</v>
      </c>
      <c r="D1" t="s">
        <v>379</v>
      </c>
      <c r="E1" t="s">
        <v>2</v>
      </c>
      <c r="F1" t="s">
        <v>3</v>
      </c>
      <c r="G1" t="s">
        <v>380</v>
      </c>
      <c r="H1" t="s">
        <v>4</v>
      </c>
      <c r="I1" t="s">
        <v>381</v>
      </c>
      <c r="J1" t="s">
        <v>382</v>
      </c>
      <c r="K1" t="s">
        <v>8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5</v>
      </c>
      <c r="W1" t="s">
        <v>6</v>
      </c>
      <c r="X1" t="s">
        <v>7</v>
      </c>
      <c r="Y1" t="s">
        <v>10</v>
      </c>
      <c r="Z1" t="s">
        <v>11</v>
      </c>
      <c r="AA1" t="s">
        <v>393</v>
      </c>
      <c r="AB1" t="s">
        <v>9</v>
      </c>
      <c r="AC1" t="s">
        <v>394</v>
      </c>
      <c r="AD1" t="s">
        <v>395</v>
      </c>
      <c r="AE1" t="s">
        <v>396</v>
      </c>
      <c r="AF1" t="s">
        <v>397</v>
      </c>
      <c r="AG1" t="s">
        <v>398</v>
      </c>
      <c r="AH1" t="s">
        <v>399</v>
      </c>
      <c r="AI1" t="s">
        <v>400</v>
      </c>
      <c r="AJ1" t="s">
        <v>401</v>
      </c>
      <c r="AK1" t="s">
        <v>402</v>
      </c>
      <c r="AL1" t="s">
        <v>403</v>
      </c>
    </row>
    <row r="2" spans="1:38" x14ac:dyDescent="0.25">
      <c r="A2" s="3" t="s">
        <v>12</v>
      </c>
      <c r="B2" s="3" t="s">
        <v>404</v>
      </c>
      <c r="C2" s="3" t="s">
        <v>13</v>
      </c>
      <c r="D2" s="3" t="s">
        <v>405</v>
      </c>
      <c r="E2" s="3" t="s">
        <v>14</v>
      </c>
      <c r="F2" s="3" t="s">
        <v>15</v>
      </c>
      <c r="G2" s="3" t="s">
        <v>406</v>
      </c>
      <c r="H2" s="11">
        <v>45931.415972222225</v>
      </c>
      <c r="I2" s="11">
        <v>45932.259722222225</v>
      </c>
      <c r="J2" s="11">
        <v>45932.259722222225</v>
      </c>
      <c r="K2" s="3" t="s">
        <v>19</v>
      </c>
      <c r="L2" s="3" t="s">
        <v>407</v>
      </c>
      <c r="M2" s="3" t="s">
        <v>408</v>
      </c>
      <c r="N2" s="3" t="s">
        <v>409</v>
      </c>
      <c r="O2" s="3" t="s">
        <v>288</v>
      </c>
      <c r="P2">
        <v>0</v>
      </c>
      <c r="Q2" s="3" t="s">
        <v>410</v>
      </c>
      <c r="R2" s="3" t="s">
        <v>288</v>
      </c>
      <c r="S2" s="3" t="s">
        <v>288</v>
      </c>
      <c r="T2" s="3" t="s">
        <v>411</v>
      </c>
      <c r="U2">
        <v>217</v>
      </c>
      <c r="V2" s="3" t="s">
        <v>16</v>
      </c>
      <c r="W2" s="3" t="s">
        <v>17</v>
      </c>
      <c r="X2" s="3" t="s">
        <v>18</v>
      </c>
      <c r="Y2" s="3" t="s">
        <v>20</v>
      </c>
      <c r="Z2" s="3" t="s">
        <v>21</v>
      </c>
      <c r="AA2" s="3" t="s">
        <v>412</v>
      </c>
      <c r="AB2" s="3" t="s">
        <v>281</v>
      </c>
      <c r="AC2" s="3" t="s">
        <v>288</v>
      </c>
      <c r="AD2" s="3" t="s">
        <v>413</v>
      </c>
      <c r="AE2" s="3" t="s">
        <v>414</v>
      </c>
      <c r="AF2" s="3" t="s">
        <v>288</v>
      </c>
      <c r="AG2" s="11">
        <v>45931.415972222225</v>
      </c>
      <c r="AH2" s="11">
        <v>45932.259722222225</v>
      </c>
      <c r="AI2" s="10"/>
      <c r="AJ2">
        <v>2</v>
      </c>
      <c r="AK2" s="3" t="s">
        <v>415</v>
      </c>
      <c r="AL2" s="3" t="s">
        <v>416</v>
      </c>
    </row>
    <row r="3" spans="1:38" x14ac:dyDescent="0.25">
      <c r="A3" s="3" t="s">
        <v>22</v>
      </c>
      <c r="B3" s="3" t="s">
        <v>404</v>
      </c>
      <c r="C3" s="3" t="s">
        <v>23</v>
      </c>
      <c r="D3" s="3" t="s">
        <v>417</v>
      </c>
      <c r="E3" s="3" t="s">
        <v>14</v>
      </c>
      <c r="F3" s="3" t="s">
        <v>24</v>
      </c>
      <c r="G3" s="3" t="s">
        <v>406</v>
      </c>
      <c r="H3" s="11">
        <v>45931.507638888892</v>
      </c>
      <c r="I3" s="11">
        <v>45931.823611111111</v>
      </c>
      <c r="J3" s="11">
        <v>45931.823611111111</v>
      </c>
      <c r="K3" s="3" t="s">
        <v>27</v>
      </c>
      <c r="L3" s="3" t="s">
        <v>418</v>
      </c>
      <c r="M3" s="3" t="s">
        <v>419</v>
      </c>
      <c r="N3" s="3" t="s">
        <v>420</v>
      </c>
      <c r="O3" s="3" t="s">
        <v>421</v>
      </c>
      <c r="P3">
        <v>0</v>
      </c>
      <c r="Q3" s="3" t="s">
        <v>422</v>
      </c>
      <c r="R3" s="3" t="s">
        <v>423</v>
      </c>
      <c r="S3" s="3" t="s">
        <v>288</v>
      </c>
      <c r="T3" s="3" t="s">
        <v>424</v>
      </c>
      <c r="U3">
        <v>147</v>
      </c>
      <c r="V3" s="3" t="s">
        <v>25</v>
      </c>
      <c r="W3" s="3" t="s">
        <v>26</v>
      </c>
      <c r="X3" s="3" t="s">
        <v>18</v>
      </c>
      <c r="Y3" s="3" t="s">
        <v>28</v>
      </c>
      <c r="Z3" s="3" t="s">
        <v>29</v>
      </c>
      <c r="AA3" s="3" t="s">
        <v>425</v>
      </c>
      <c r="AB3" s="3" t="s">
        <v>282</v>
      </c>
      <c r="AC3" s="3" t="s">
        <v>288</v>
      </c>
      <c r="AD3" s="3" t="s">
        <v>426</v>
      </c>
      <c r="AE3" s="3" t="s">
        <v>427</v>
      </c>
      <c r="AF3" s="3" t="s">
        <v>288</v>
      </c>
      <c r="AG3" s="11">
        <v>45931.507638888892</v>
      </c>
      <c r="AH3" s="11">
        <v>45931.823611111111</v>
      </c>
      <c r="AI3" s="10">
        <v>45934</v>
      </c>
      <c r="AJ3">
        <v>1</v>
      </c>
      <c r="AK3" s="3" t="s">
        <v>428</v>
      </c>
      <c r="AL3" s="3" t="s">
        <v>416</v>
      </c>
    </row>
    <row r="4" spans="1:38" x14ac:dyDescent="0.25">
      <c r="A4" s="3" t="s">
        <v>30</v>
      </c>
      <c r="B4" s="3" t="s">
        <v>404</v>
      </c>
      <c r="C4" s="3" t="s">
        <v>31</v>
      </c>
      <c r="D4" s="3" t="s">
        <v>429</v>
      </c>
      <c r="E4" s="3" t="s">
        <v>14</v>
      </c>
      <c r="F4" s="3" t="s">
        <v>15</v>
      </c>
      <c r="G4" s="3" t="s">
        <v>406</v>
      </c>
      <c r="H4" s="11">
        <v>45931.585416666669</v>
      </c>
      <c r="I4" s="11">
        <v>45932.595833333333</v>
      </c>
      <c r="J4" s="11">
        <v>45932.595833333333</v>
      </c>
      <c r="K4" s="3" t="s">
        <v>34</v>
      </c>
      <c r="L4" s="3" t="s">
        <v>430</v>
      </c>
      <c r="M4" s="3" t="s">
        <v>408</v>
      </c>
      <c r="N4" s="3" t="s">
        <v>431</v>
      </c>
      <c r="O4" s="3" t="s">
        <v>432</v>
      </c>
      <c r="P4">
        <v>2</v>
      </c>
      <c r="Q4" s="3" t="s">
        <v>288</v>
      </c>
      <c r="R4" s="3" t="s">
        <v>288</v>
      </c>
      <c r="S4" s="3" t="s">
        <v>288</v>
      </c>
      <c r="T4" s="3" t="s">
        <v>433</v>
      </c>
      <c r="U4">
        <v>427</v>
      </c>
      <c r="V4" s="3" t="s">
        <v>32</v>
      </c>
      <c r="W4" s="3" t="s">
        <v>17</v>
      </c>
      <c r="X4" s="3" t="s">
        <v>33</v>
      </c>
      <c r="Y4" s="3" t="s">
        <v>28</v>
      </c>
      <c r="Z4" s="3" t="s">
        <v>29</v>
      </c>
      <c r="AA4" s="3" t="s">
        <v>412</v>
      </c>
      <c r="AB4" s="3" t="s">
        <v>283</v>
      </c>
      <c r="AC4" s="3" t="s">
        <v>288</v>
      </c>
      <c r="AD4" s="3" t="s">
        <v>434</v>
      </c>
      <c r="AE4" s="3" t="s">
        <v>435</v>
      </c>
      <c r="AF4" s="3" t="s">
        <v>288</v>
      </c>
      <c r="AG4" s="11">
        <v>45931.585416666669</v>
      </c>
      <c r="AH4" s="11">
        <v>45932.595833333333</v>
      </c>
      <c r="AI4" s="10"/>
      <c r="AJ4">
        <v>1</v>
      </c>
      <c r="AK4" s="3" t="s">
        <v>436</v>
      </c>
      <c r="AL4" s="3" t="s">
        <v>437</v>
      </c>
    </row>
    <row r="5" spans="1:38" x14ac:dyDescent="0.25">
      <c r="A5" s="3" t="s">
        <v>35</v>
      </c>
      <c r="B5" s="3" t="s">
        <v>438</v>
      </c>
      <c r="C5" s="3" t="s">
        <v>36</v>
      </c>
      <c r="D5" s="3" t="s">
        <v>439</v>
      </c>
      <c r="E5" s="3" t="s">
        <v>14</v>
      </c>
      <c r="F5" s="3" t="s">
        <v>24</v>
      </c>
      <c r="G5" s="3" t="s">
        <v>406</v>
      </c>
      <c r="H5" s="11">
        <v>45931.734027777777</v>
      </c>
      <c r="I5" s="11">
        <v>45933.326388888891</v>
      </c>
      <c r="J5" s="11">
        <v>45933.326388888891</v>
      </c>
      <c r="K5" s="3" t="s">
        <v>39</v>
      </c>
      <c r="L5" s="3" t="s">
        <v>440</v>
      </c>
      <c r="M5" s="3" t="s">
        <v>441</v>
      </c>
      <c r="N5" s="3" t="s">
        <v>442</v>
      </c>
      <c r="O5" s="3" t="s">
        <v>443</v>
      </c>
      <c r="P5">
        <v>3</v>
      </c>
      <c r="Q5" s="3" t="s">
        <v>410</v>
      </c>
      <c r="R5" s="3" t="s">
        <v>288</v>
      </c>
      <c r="S5" s="3" t="s">
        <v>288</v>
      </c>
      <c r="T5" s="3" t="s">
        <v>433</v>
      </c>
      <c r="U5">
        <v>218</v>
      </c>
      <c r="V5" s="3" t="s">
        <v>37</v>
      </c>
      <c r="W5" s="3" t="s">
        <v>26</v>
      </c>
      <c r="X5" s="3" t="s">
        <v>38</v>
      </c>
      <c r="Y5" s="3" t="s">
        <v>40</v>
      </c>
      <c r="Z5" s="3" t="s">
        <v>41</v>
      </c>
      <c r="AA5" s="3" t="s">
        <v>425</v>
      </c>
      <c r="AB5" s="3" t="s">
        <v>284</v>
      </c>
      <c r="AC5" s="3" t="s">
        <v>288</v>
      </c>
      <c r="AD5" s="3" t="s">
        <v>444</v>
      </c>
      <c r="AE5" s="3" t="s">
        <v>445</v>
      </c>
      <c r="AF5" s="3" t="s">
        <v>288</v>
      </c>
      <c r="AG5" s="11">
        <v>45931.734027777777</v>
      </c>
      <c r="AH5" s="11">
        <v>45933.326388888891</v>
      </c>
      <c r="AI5" s="10">
        <v>45932</v>
      </c>
      <c r="AJ5">
        <v>0</v>
      </c>
      <c r="AK5" s="3" t="s">
        <v>428</v>
      </c>
      <c r="AL5" s="3" t="s">
        <v>437</v>
      </c>
    </row>
    <row r="6" spans="1:38" x14ac:dyDescent="0.25">
      <c r="A6" s="3" t="s">
        <v>42</v>
      </c>
      <c r="B6" s="3" t="s">
        <v>446</v>
      </c>
      <c r="C6" s="3" t="s">
        <v>43</v>
      </c>
      <c r="D6" s="3" t="s">
        <v>447</v>
      </c>
      <c r="E6" s="3" t="s">
        <v>14</v>
      </c>
      <c r="F6" s="3" t="s">
        <v>15</v>
      </c>
      <c r="G6" s="3" t="s">
        <v>406</v>
      </c>
      <c r="H6" s="11">
        <v>45932.428472222222</v>
      </c>
      <c r="I6" s="11">
        <v>45934.121527777781</v>
      </c>
      <c r="J6" s="11">
        <v>45934.121527777781</v>
      </c>
      <c r="K6" s="3" t="s">
        <v>27</v>
      </c>
      <c r="L6" s="3" t="s">
        <v>448</v>
      </c>
      <c r="M6" s="3" t="s">
        <v>449</v>
      </c>
      <c r="N6" s="3" t="s">
        <v>450</v>
      </c>
      <c r="O6" s="3" t="s">
        <v>432</v>
      </c>
      <c r="P6">
        <v>3</v>
      </c>
      <c r="Q6" s="3" t="s">
        <v>288</v>
      </c>
      <c r="R6" s="3" t="s">
        <v>433</v>
      </c>
      <c r="S6" s="3" t="s">
        <v>288</v>
      </c>
      <c r="T6" s="3" t="s">
        <v>451</v>
      </c>
      <c r="U6">
        <v>348</v>
      </c>
      <c r="V6" s="3" t="s">
        <v>44</v>
      </c>
      <c r="W6" s="3" t="s">
        <v>26</v>
      </c>
      <c r="X6" s="3" t="s">
        <v>45</v>
      </c>
      <c r="Y6" s="3" t="s">
        <v>46</v>
      </c>
      <c r="Z6" s="3" t="s">
        <v>47</v>
      </c>
      <c r="AA6" s="3" t="s">
        <v>412</v>
      </c>
      <c r="AB6" s="3" t="s">
        <v>285</v>
      </c>
      <c r="AC6" s="3" t="s">
        <v>452</v>
      </c>
      <c r="AD6" s="3" t="s">
        <v>444</v>
      </c>
      <c r="AE6" s="3" t="s">
        <v>453</v>
      </c>
      <c r="AF6" s="3" t="s">
        <v>288</v>
      </c>
      <c r="AG6" s="11">
        <v>45932.428472222222</v>
      </c>
      <c r="AH6" s="11">
        <v>45934.121527777781</v>
      </c>
      <c r="AI6" s="10">
        <v>45937</v>
      </c>
      <c r="AJ6">
        <v>0</v>
      </c>
      <c r="AK6" s="3" t="s">
        <v>415</v>
      </c>
      <c r="AL6" s="3" t="s">
        <v>454</v>
      </c>
    </row>
    <row r="7" spans="1:38" x14ac:dyDescent="0.25">
      <c r="A7" s="3" t="s">
        <v>48</v>
      </c>
      <c r="B7" s="3" t="s">
        <v>438</v>
      </c>
      <c r="C7" s="3" t="s">
        <v>49</v>
      </c>
      <c r="D7" s="3" t="s">
        <v>455</v>
      </c>
      <c r="E7" s="3" t="s">
        <v>14</v>
      </c>
      <c r="F7" s="3" t="s">
        <v>24</v>
      </c>
      <c r="G7" s="3" t="s">
        <v>406</v>
      </c>
      <c r="H7" s="11">
        <v>45932.449305555558</v>
      </c>
      <c r="I7" s="11">
        <v>45932.81527777778</v>
      </c>
      <c r="J7" s="11">
        <v>45932.81527777778</v>
      </c>
      <c r="K7" s="3" t="s">
        <v>27</v>
      </c>
      <c r="L7" s="3" t="s">
        <v>456</v>
      </c>
      <c r="M7" s="3" t="s">
        <v>430</v>
      </c>
      <c r="N7" s="3" t="s">
        <v>457</v>
      </c>
      <c r="O7" s="3" t="s">
        <v>288</v>
      </c>
      <c r="P7">
        <v>1</v>
      </c>
      <c r="Q7" s="3" t="s">
        <v>410</v>
      </c>
      <c r="R7" s="3" t="s">
        <v>288</v>
      </c>
      <c r="S7" s="3" t="s">
        <v>288</v>
      </c>
      <c r="T7" s="3" t="s">
        <v>411</v>
      </c>
      <c r="U7">
        <v>380</v>
      </c>
      <c r="V7" s="3" t="s">
        <v>50</v>
      </c>
      <c r="W7" s="3" t="s">
        <v>17</v>
      </c>
      <c r="X7" s="3" t="s">
        <v>18</v>
      </c>
      <c r="Y7" s="3" t="s">
        <v>28</v>
      </c>
      <c r="Z7" s="3" t="s">
        <v>47</v>
      </c>
      <c r="AA7" s="3" t="s">
        <v>458</v>
      </c>
      <c r="AB7" s="3" t="s">
        <v>286</v>
      </c>
      <c r="AC7" s="3" t="s">
        <v>459</v>
      </c>
      <c r="AD7" s="3" t="s">
        <v>460</v>
      </c>
      <c r="AE7" s="3" t="s">
        <v>427</v>
      </c>
      <c r="AF7" s="3" t="s">
        <v>288</v>
      </c>
      <c r="AG7" s="11">
        <v>45932.449305555558</v>
      </c>
      <c r="AH7" s="11">
        <v>45932.81527777778</v>
      </c>
      <c r="AI7" s="10">
        <v>45939</v>
      </c>
      <c r="AJ7">
        <v>1</v>
      </c>
      <c r="AK7" s="3" t="s">
        <v>436</v>
      </c>
      <c r="AL7" s="3" t="s">
        <v>437</v>
      </c>
    </row>
    <row r="8" spans="1:38" x14ac:dyDescent="0.25">
      <c r="A8" s="3" t="s">
        <v>51</v>
      </c>
      <c r="B8" s="3" t="s">
        <v>446</v>
      </c>
      <c r="C8" s="3" t="s">
        <v>52</v>
      </c>
      <c r="D8" s="3" t="s">
        <v>461</v>
      </c>
      <c r="E8" s="3" t="s">
        <v>14</v>
      </c>
      <c r="F8" s="3" t="s">
        <v>24</v>
      </c>
      <c r="G8" s="3" t="s">
        <v>406</v>
      </c>
      <c r="H8" s="11">
        <v>45932.758333333331</v>
      </c>
      <c r="I8" s="11">
        <v>45932.963194444441</v>
      </c>
      <c r="J8" s="11">
        <v>45932.963194444441</v>
      </c>
      <c r="K8" s="3" t="s">
        <v>54</v>
      </c>
      <c r="L8" s="3" t="s">
        <v>456</v>
      </c>
      <c r="M8" s="3" t="s">
        <v>462</v>
      </c>
      <c r="N8" s="3" t="s">
        <v>463</v>
      </c>
      <c r="O8" s="3" t="s">
        <v>288</v>
      </c>
      <c r="P8">
        <v>3</v>
      </c>
      <c r="Q8" s="3" t="s">
        <v>288</v>
      </c>
      <c r="R8" s="3" t="s">
        <v>288</v>
      </c>
      <c r="S8" s="3" t="s">
        <v>288</v>
      </c>
      <c r="T8" s="3" t="s">
        <v>424</v>
      </c>
      <c r="U8">
        <v>328</v>
      </c>
      <c r="V8" s="3" t="s">
        <v>50</v>
      </c>
      <c r="W8" s="3" t="s">
        <v>17</v>
      </c>
      <c r="X8" s="3" t="s">
        <v>53</v>
      </c>
      <c r="Y8" s="3" t="s">
        <v>55</v>
      </c>
      <c r="Z8" s="3" t="s">
        <v>41</v>
      </c>
      <c r="AA8" s="3" t="s">
        <v>425</v>
      </c>
      <c r="AB8" s="3" t="s">
        <v>287</v>
      </c>
      <c r="AC8" s="3" t="s">
        <v>464</v>
      </c>
      <c r="AD8" s="3" t="s">
        <v>460</v>
      </c>
      <c r="AE8" s="3" t="s">
        <v>414</v>
      </c>
      <c r="AF8" s="3" t="s">
        <v>288</v>
      </c>
      <c r="AG8" s="11">
        <v>45932.758333333331</v>
      </c>
      <c r="AH8" s="11">
        <v>45932.963194444441</v>
      </c>
      <c r="AI8" s="10"/>
      <c r="AJ8">
        <v>1</v>
      </c>
      <c r="AK8" s="3" t="s">
        <v>415</v>
      </c>
      <c r="AL8" s="3" t="s">
        <v>454</v>
      </c>
    </row>
    <row r="9" spans="1:38" x14ac:dyDescent="0.25">
      <c r="A9" s="3" t="s">
        <v>56</v>
      </c>
      <c r="B9" s="3" t="s">
        <v>404</v>
      </c>
      <c r="C9" s="3" t="s">
        <v>57</v>
      </c>
      <c r="D9" s="3" t="s">
        <v>465</v>
      </c>
      <c r="E9" s="3" t="s">
        <v>58</v>
      </c>
      <c r="F9" s="3" t="s">
        <v>24</v>
      </c>
      <c r="G9" s="3" t="s">
        <v>288</v>
      </c>
      <c r="H9" s="11">
        <v>45933.362500000003</v>
      </c>
      <c r="I9" s="11">
        <v>45934.945833333331</v>
      </c>
      <c r="J9" s="11"/>
      <c r="K9" s="3" t="s">
        <v>19</v>
      </c>
      <c r="L9" s="3" t="s">
        <v>466</v>
      </c>
      <c r="M9" s="3" t="s">
        <v>288</v>
      </c>
      <c r="N9" s="3" t="s">
        <v>467</v>
      </c>
      <c r="O9" s="3" t="s">
        <v>288</v>
      </c>
      <c r="P9">
        <v>2</v>
      </c>
      <c r="Q9" s="3" t="s">
        <v>288</v>
      </c>
      <c r="R9" s="3" t="s">
        <v>288</v>
      </c>
      <c r="S9" s="3" t="s">
        <v>288</v>
      </c>
      <c r="T9" s="3" t="s">
        <v>288</v>
      </c>
      <c r="V9" s="3" t="s">
        <v>59</v>
      </c>
      <c r="W9" s="3" t="s">
        <v>17</v>
      </c>
      <c r="X9" s="3" t="s">
        <v>38</v>
      </c>
      <c r="Y9" s="3" t="s">
        <v>60</v>
      </c>
      <c r="Z9" s="3" t="s">
        <v>41</v>
      </c>
      <c r="AA9" s="3" t="s">
        <v>425</v>
      </c>
      <c r="AB9" s="3" t="s">
        <v>288</v>
      </c>
      <c r="AC9" s="3" t="s">
        <v>288</v>
      </c>
      <c r="AD9" s="3" t="s">
        <v>444</v>
      </c>
      <c r="AE9" s="3" t="s">
        <v>445</v>
      </c>
      <c r="AF9" s="3" t="s">
        <v>288</v>
      </c>
      <c r="AG9" s="11">
        <v>45933.362500000003</v>
      </c>
      <c r="AH9" s="11"/>
      <c r="AI9" s="10"/>
      <c r="AJ9">
        <v>3</v>
      </c>
      <c r="AK9" s="3" t="s">
        <v>415</v>
      </c>
      <c r="AL9" s="3" t="s">
        <v>437</v>
      </c>
    </row>
    <row r="10" spans="1:38" x14ac:dyDescent="0.25">
      <c r="A10" s="3" t="s">
        <v>61</v>
      </c>
      <c r="B10" s="3" t="s">
        <v>404</v>
      </c>
      <c r="C10" s="3" t="s">
        <v>62</v>
      </c>
      <c r="D10" s="3" t="s">
        <v>468</v>
      </c>
      <c r="E10" s="3" t="s">
        <v>14</v>
      </c>
      <c r="F10" s="3" t="s">
        <v>63</v>
      </c>
      <c r="G10" s="3" t="s">
        <v>406</v>
      </c>
      <c r="H10" s="11">
        <v>45933.536111111112</v>
      </c>
      <c r="I10" s="11">
        <v>45935.181944444441</v>
      </c>
      <c r="J10" s="11">
        <v>45935.181944444441</v>
      </c>
      <c r="K10" s="3" t="s">
        <v>27</v>
      </c>
      <c r="L10" s="3" t="s">
        <v>448</v>
      </c>
      <c r="M10" s="3" t="s">
        <v>448</v>
      </c>
      <c r="N10" s="3" t="s">
        <v>469</v>
      </c>
      <c r="O10" s="3" t="s">
        <v>443</v>
      </c>
      <c r="P10">
        <v>0</v>
      </c>
      <c r="Q10" s="3" t="s">
        <v>288</v>
      </c>
      <c r="R10" s="3" t="s">
        <v>288</v>
      </c>
      <c r="S10" s="3" t="s">
        <v>288</v>
      </c>
      <c r="T10" s="3" t="s">
        <v>411</v>
      </c>
      <c r="U10">
        <v>311</v>
      </c>
      <c r="V10" s="3" t="s">
        <v>64</v>
      </c>
      <c r="W10" s="3" t="s">
        <v>26</v>
      </c>
      <c r="X10" s="3" t="s">
        <v>33</v>
      </c>
      <c r="Y10" s="3" t="s">
        <v>60</v>
      </c>
      <c r="Z10" s="3" t="s">
        <v>21</v>
      </c>
      <c r="AA10" s="3" t="s">
        <v>412</v>
      </c>
      <c r="AB10" s="3" t="s">
        <v>289</v>
      </c>
      <c r="AC10" s="3" t="s">
        <v>459</v>
      </c>
      <c r="AD10" s="3" t="s">
        <v>434</v>
      </c>
      <c r="AE10" s="3" t="s">
        <v>470</v>
      </c>
      <c r="AF10" s="3" t="s">
        <v>288</v>
      </c>
      <c r="AG10" s="11">
        <v>45933.536111111112</v>
      </c>
      <c r="AH10" s="11">
        <v>45935.181944444441</v>
      </c>
      <c r="AI10" s="10"/>
      <c r="AJ10">
        <v>2</v>
      </c>
      <c r="AK10" s="3" t="s">
        <v>415</v>
      </c>
      <c r="AL10" s="3" t="s">
        <v>437</v>
      </c>
    </row>
    <row r="11" spans="1:38" x14ac:dyDescent="0.25">
      <c r="A11" s="3" t="s">
        <v>65</v>
      </c>
      <c r="B11" s="3" t="s">
        <v>446</v>
      </c>
      <c r="C11" s="3" t="s">
        <v>66</v>
      </c>
      <c r="D11" s="3" t="s">
        <v>471</v>
      </c>
      <c r="E11" s="3" t="s">
        <v>14</v>
      </c>
      <c r="F11" s="3" t="s">
        <v>24</v>
      </c>
      <c r="G11" s="3" t="s">
        <v>406</v>
      </c>
      <c r="H11" s="11">
        <v>45933.69027777778</v>
      </c>
      <c r="I11" s="11">
        <v>45934.561111111114</v>
      </c>
      <c r="J11" s="11">
        <v>45934.561111111114</v>
      </c>
      <c r="K11" s="3" t="s">
        <v>19</v>
      </c>
      <c r="L11" s="3" t="s">
        <v>472</v>
      </c>
      <c r="M11" s="3" t="s">
        <v>473</v>
      </c>
      <c r="N11" s="3" t="s">
        <v>474</v>
      </c>
      <c r="O11" s="3" t="s">
        <v>475</v>
      </c>
      <c r="P11">
        <v>1</v>
      </c>
      <c r="Q11" s="3" t="s">
        <v>410</v>
      </c>
      <c r="R11" s="3" t="s">
        <v>288</v>
      </c>
      <c r="S11" s="3" t="s">
        <v>288</v>
      </c>
      <c r="T11" s="3" t="s">
        <v>433</v>
      </c>
      <c r="U11">
        <v>338</v>
      </c>
      <c r="V11" s="3" t="s">
        <v>59</v>
      </c>
      <c r="W11" s="3" t="s">
        <v>17</v>
      </c>
      <c r="X11" s="3" t="s">
        <v>18</v>
      </c>
      <c r="Y11" s="3" t="s">
        <v>67</v>
      </c>
      <c r="Z11" s="3" t="s">
        <v>47</v>
      </c>
      <c r="AA11" s="3" t="s">
        <v>476</v>
      </c>
      <c r="AB11" s="3" t="s">
        <v>290</v>
      </c>
      <c r="AC11" s="3" t="s">
        <v>459</v>
      </c>
      <c r="AD11" s="3" t="s">
        <v>413</v>
      </c>
      <c r="AE11" s="3" t="s">
        <v>435</v>
      </c>
      <c r="AF11" s="3" t="s">
        <v>288</v>
      </c>
      <c r="AG11" s="11">
        <v>45933.69027777778</v>
      </c>
      <c r="AH11" s="11">
        <v>45934.561111111114</v>
      </c>
      <c r="AI11" s="10"/>
      <c r="AJ11">
        <v>0</v>
      </c>
      <c r="AK11" s="3" t="s">
        <v>415</v>
      </c>
      <c r="AL11" s="3" t="s">
        <v>416</v>
      </c>
    </row>
    <row r="12" spans="1:38" x14ac:dyDescent="0.25">
      <c r="A12" s="3" t="s">
        <v>68</v>
      </c>
      <c r="B12" s="3" t="s">
        <v>404</v>
      </c>
      <c r="C12" s="3" t="s">
        <v>69</v>
      </c>
      <c r="D12" s="3" t="s">
        <v>477</v>
      </c>
      <c r="E12" s="3" t="s">
        <v>14</v>
      </c>
      <c r="F12" s="3" t="s">
        <v>15</v>
      </c>
      <c r="G12" s="3" t="s">
        <v>406</v>
      </c>
      <c r="H12" s="11">
        <v>45934.365972222222</v>
      </c>
      <c r="I12" s="11">
        <v>45934.996527777781</v>
      </c>
      <c r="J12" s="11">
        <v>45934.996527777781</v>
      </c>
      <c r="K12" s="3" t="s">
        <v>72</v>
      </c>
      <c r="L12" s="3" t="s">
        <v>478</v>
      </c>
      <c r="M12" s="3" t="s">
        <v>462</v>
      </c>
      <c r="N12" s="3" t="s">
        <v>479</v>
      </c>
      <c r="O12" s="3" t="s">
        <v>288</v>
      </c>
      <c r="P12">
        <v>2</v>
      </c>
      <c r="Q12" s="3" t="s">
        <v>288</v>
      </c>
      <c r="R12" s="3" t="s">
        <v>288</v>
      </c>
      <c r="S12" s="3" t="s">
        <v>288</v>
      </c>
      <c r="T12" s="3" t="s">
        <v>480</v>
      </c>
      <c r="U12">
        <v>283</v>
      </c>
      <c r="V12" s="3" t="s">
        <v>70</v>
      </c>
      <c r="W12" s="3" t="s">
        <v>17</v>
      </c>
      <c r="X12" s="3" t="s">
        <v>71</v>
      </c>
      <c r="Y12" s="3" t="s">
        <v>73</v>
      </c>
      <c r="Z12" s="3" t="s">
        <v>47</v>
      </c>
      <c r="AA12" s="3" t="s">
        <v>425</v>
      </c>
      <c r="AB12" s="3" t="s">
        <v>291</v>
      </c>
      <c r="AC12" s="3" t="s">
        <v>481</v>
      </c>
      <c r="AD12" s="3" t="s">
        <v>482</v>
      </c>
      <c r="AE12" s="3" t="s">
        <v>483</v>
      </c>
      <c r="AF12" s="3" t="s">
        <v>288</v>
      </c>
      <c r="AG12" s="11">
        <v>45934.365972222222</v>
      </c>
      <c r="AH12" s="11">
        <v>45934.996527777781</v>
      </c>
      <c r="AI12" s="10"/>
      <c r="AJ12">
        <v>2</v>
      </c>
      <c r="AK12" s="3" t="s">
        <v>428</v>
      </c>
      <c r="AL12" s="3" t="s">
        <v>454</v>
      </c>
    </row>
    <row r="13" spans="1:38" x14ac:dyDescent="0.25">
      <c r="A13" s="3" t="s">
        <v>74</v>
      </c>
      <c r="B13" s="3" t="s">
        <v>438</v>
      </c>
      <c r="C13" s="3" t="s">
        <v>75</v>
      </c>
      <c r="D13" s="3" t="s">
        <v>484</v>
      </c>
      <c r="E13" s="3" t="s">
        <v>14</v>
      </c>
      <c r="F13" s="3" t="s">
        <v>15</v>
      </c>
      <c r="G13" s="3" t="s">
        <v>406</v>
      </c>
      <c r="H13" s="11">
        <v>45934.450694444444</v>
      </c>
      <c r="I13" s="11">
        <v>45934.520138888889</v>
      </c>
      <c r="J13" s="11">
        <v>45934.520138888889</v>
      </c>
      <c r="K13" s="3" t="s">
        <v>27</v>
      </c>
      <c r="L13" s="3" t="s">
        <v>407</v>
      </c>
      <c r="M13" s="3" t="s">
        <v>473</v>
      </c>
      <c r="N13" s="3" t="s">
        <v>479</v>
      </c>
      <c r="O13" s="3" t="s">
        <v>288</v>
      </c>
      <c r="P13">
        <v>3</v>
      </c>
      <c r="Q13" s="3" t="s">
        <v>422</v>
      </c>
      <c r="R13" s="3" t="s">
        <v>288</v>
      </c>
      <c r="S13" s="3" t="s">
        <v>288</v>
      </c>
      <c r="T13" s="3" t="s">
        <v>480</v>
      </c>
      <c r="U13">
        <v>428</v>
      </c>
      <c r="V13" s="3" t="s">
        <v>76</v>
      </c>
      <c r="W13" s="3" t="s">
        <v>26</v>
      </c>
      <c r="X13" s="3" t="s">
        <v>18</v>
      </c>
      <c r="Y13" s="3" t="s">
        <v>60</v>
      </c>
      <c r="Z13" s="3" t="s">
        <v>41</v>
      </c>
      <c r="AA13" s="3" t="s">
        <v>412</v>
      </c>
      <c r="AB13" s="3" t="s">
        <v>292</v>
      </c>
      <c r="AC13" s="3" t="s">
        <v>485</v>
      </c>
      <c r="AD13" s="3" t="s">
        <v>460</v>
      </c>
      <c r="AE13" s="3" t="s">
        <v>435</v>
      </c>
      <c r="AF13" s="3" t="s">
        <v>288</v>
      </c>
      <c r="AG13" s="11">
        <v>45934.450694444444</v>
      </c>
      <c r="AH13" s="11">
        <v>45934.520138888889</v>
      </c>
      <c r="AI13" s="10">
        <v>45939</v>
      </c>
      <c r="AJ13">
        <v>0</v>
      </c>
      <c r="AK13" s="3" t="s">
        <v>436</v>
      </c>
      <c r="AL13" s="3" t="s">
        <v>437</v>
      </c>
    </row>
    <row r="14" spans="1:38" x14ac:dyDescent="0.25">
      <c r="A14" s="3" t="s">
        <v>77</v>
      </c>
      <c r="B14" s="3" t="s">
        <v>446</v>
      </c>
      <c r="C14" s="3" t="s">
        <v>78</v>
      </c>
      <c r="D14" s="3" t="s">
        <v>486</v>
      </c>
      <c r="E14" s="3" t="s">
        <v>14</v>
      </c>
      <c r="F14" s="3" t="s">
        <v>24</v>
      </c>
      <c r="G14" s="3" t="s">
        <v>406</v>
      </c>
      <c r="H14" s="11">
        <v>45934.479861111111</v>
      </c>
      <c r="I14" s="11">
        <v>45934.711111111108</v>
      </c>
      <c r="J14" s="11">
        <v>45934.711111111108</v>
      </c>
      <c r="K14" s="3" t="s">
        <v>19</v>
      </c>
      <c r="L14" s="3" t="s">
        <v>466</v>
      </c>
      <c r="M14" s="3" t="s">
        <v>473</v>
      </c>
      <c r="N14" s="3" t="s">
        <v>469</v>
      </c>
      <c r="O14" s="3" t="s">
        <v>475</v>
      </c>
      <c r="P14">
        <v>1</v>
      </c>
      <c r="Q14" s="3" t="s">
        <v>410</v>
      </c>
      <c r="R14" s="3" t="s">
        <v>288</v>
      </c>
      <c r="S14" s="3" t="s">
        <v>288</v>
      </c>
      <c r="T14" s="3" t="s">
        <v>480</v>
      </c>
      <c r="U14">
        <v>361</v>
      </c>
      <c r="V14" s="3" t="s">
        <v>64</v>
      </c>
      <c r="W14" s="3" t="s">
        <v>26</v>
      </c>
      <c r="X14" s="3" t="s">
        <v>79</v>
      </c>
      <c r="Y14" s="3" t="s">
        <v>28</v>
      </c>
      <c r="Z14" s="3" t="s">
        <v>21</v>
      </c>
      <c r="AA14" s="3" t="s">
        <v>476</v>
      </c>
      <c r="AB14" s="3" t="s">
        <v>293</v>
      </c>
      <c r="AC14" s="3" t="s">
        <v>464</v>
      </c>
      <c r="AD14" s="3" t="s">
        <v>482</v>
      </c>
      <c r="AE14" s="3" t="s">
        <v>483</v>
      </c>
      <c r="AF14" s="3" t="s">
        <v>288</v>
      </c>
      <c r="AG14" s="11">
        <v>45934.479861111111</v>
      </c>
      <c r="AH14" s="11">
        <v>45934.711111111108</v>
      </c>
      <c r="AI14" s="10">
        <v>45941</v>
      </c>
      <c r="AJ14">
        <v>1</v>
      </c>
      <c r="AK14" s="3" t="s">
        <v>415</v>
      </c>
      <c r="AL14" s="3" t="s">
        <v>454</v>
      </c>
    </row>
    <row r="15" spans="1:38" x14ac:dyDescent="0.25">
      <c r="A15" s="3" t="s">
        <v>80</v>
      </c>
      <c r="B15" s="3" t="s">
        <v>404</v>
      </c>
      <c r="C15" s="3" t="s">
        <v>81</v>
      </c>
      <c r="D15" s="3" t="s">
        <v>487</v>
      </c>
      <c r="E15" s="3" t="s">
        <v>14</v>
      </c>
      <c r="F15" s="3" t="s">
        <v>24</v>
      </c>
      <c r="G15" s="3" t="s">
        <v>406</v>
      </c>
      <c r="H15" s="11">
        <v>45934.657638888886</v>
      </c>
      <c r="I15" s="11">
        <v>45934.966666666667</v>
      </c>
      <c r="J15" s="11">
        <v>45934.966666666667</v>
      </c>
      <c r="K15" s="3" t="s">
        <v>72</v>
      </c>
      <c r="L15" s="3" t="s">
        <v>488</v>
      </c>
      <c r="M15" s="3" t="s">
        <v>489</v>
      </c>
      <c r="N15" s="3" t="s">
        <v>442</v>
      </c>
      <c r="O15" s="3" t="s">
        <v>288</v>
      </c>
      <c r="P15">
        <v>2</v>
      </c>
      <c r="Q15" s="3" t="s">
        <v>422</v>
      </c>
      <c r="R15" s="3" t="s">
        <v>288</v>
      </c>
      <c r="S15" s="3" t="s">
        <v>288</v>
      </c>
      <c r="T15" s="3" t="s">
        <v>451</v>
      </c>
      <c r="U15">
        <v>154</v>
      </c>
      <c r="V15" s="3" t="s">
        <v>82</v>
      </c>
      <c r="W15" s="3" t="s">
        <v>26</v>
      </c>
      <c r="X15" s="3" t="s">
        <v>53</v>
      </c>
      <c r="Y15" s="3" t="s">
        <v>73</v>
      </c>
      <c r="Z15" s="3" t="s">
        <v>41</v>
      </c>
      <c r="AA15" s="3" t="s">
        <v>476</v>
      </c>
      <c r="AB15" s="3" t="s">
        <v>294</v>
      </c>
      <c r="AC15" s="3" t="s">
        <v>288</v>
      </c>
      <c r="AD15" s="3" t="s">
        <v>413</v>
      </c>
      <c r="AE15" s="3" t="s">
        <v>490</v>
      </c>
      <c r="AF15" s="3" t="s">
        <v>288</v>
      </c>
      <c r="AG15" s="11">
        <v>45934.657638888886</v>
      </c>
      <c r="AH15" s="11">
        <v>45934.966666666667</v>
      </c>
      <c r="AI15" s="10"/>
      <c r="AJ15">
        <v>0</v>
      </c>
      <c r="AK15" s="3" t="s">
        <v>436</v>
      </c>
      <c r="AL15" s="3" t="s">
        <v>454</v>
      </c>
    </row>
    <row r="16" spans="1:38" x14ac:dyDescent="0.25">
      <c r="A16" s="3" t="s">
        <v>83</v>
      </c>
      <c r="B16" s="3" t="s">
        <v>404</v>
      </c>
      <c r="C16" s="3" t="s">
        <v>84</v>
      </c>
      <c r="D16" s="3" t="s">
        <v>491</v>
      </c>
      <c r="E16" s="3" t="s">
        <v>14</v>
      </c>
      <c r="F16" s="3" t="s">
        <v>85</v>
      </c>
      <c r="G16" s="3" t="s">
        <v>406</v>
      </c>
      <c r="H16" s="11">
        <v>45935.591666666667</v>
      </c>
      <c r="I16" s="11">
        <v>45937.018750000003</v>
      </c>
      <c r="J16" s="11">
        <v>45937.018750000003</v>
      </c>
      <c r="K16" s="3" t="s">
        <v>27</v>
      </c>
      <c r="L16" s="3" t="s">
        <v>492</v>
      </c>
      <c r="M16" s="3" t="s">
        <v>440</v>
      </c>
      <c r="N16" s="3" t="s">
        <v>493</v>
      </c>
      <c r="O16" s="3" t="s">
        <v>288</v>
      </c>
      <c r="P16">
        <v>1</v>
      </c>
      <c r="Q16" s="3" t="s">
        <v>410</v>
      </c>
      <c r="R16" s="3" t="s">
        <v>288</v>
      </c>
      <c r="S16" s="3" t="s">
        <v>288</v>
      </c>
      <c r="T16" s="3" t="s">
        <v>451</v>
      </c>
      <c r="U16">
        <v>128</v>
      </c>
      <c r="V16" s="3" t="s">
        <v>64</v>
      </c>
      <c r="W16" s="3" t="s">
        <v>26</v>
      </c>
      <c r="X16" s="3" t="s">
        <v>45</v>
      </c>
      <c r="Y16" s="3" t="s">
        <v>73</v>
      </c>
      <c r="Z16" s="3" t="s">
        <v>21</v>
      </c>
      <c r="AA16" s="3" t="s">
        <v>458</v>
      </c>
      <c r="AB16" s="3" t="s">
        <v>295</v>
      </c>
      <c r="AC16" s="3" t="s">
        <v>288</v>
      </c>
      <c r="AD16" s="3" t="s">
        <v>426</v>
      </c>
      <c r="AE16" s="3" t="s">
        <v>494</v>
      </c>
      <c r="AF16" s="3" t="s">
        <v>288</v>
      </c>
      <c r="AG16" s="11">
        <v>45935.591666666667</v>
      </c>
      <c r="AH16" s="11">
        <v>45937.018750000003</v>
      </c>
      <c r="AI16" s="10">
        <v>45941</v>
      </c>
      <c r="AJ16">
        <v>2</v>
      </c>
      <c r="AK16" s="3" t="s">
        <v>428</v>
      </c>
      <c r="AL16" s="3" t="s">
        <v>454</v>
      </c>
    </row>
    <row r="17" spans="1:38" x14ac:dyDescent="0.25">
      <c r="A17" s="3" t="s">
        <v>86</v>
      </c>
      <c r="B17" s="3" t="s">
        <v>404</v>
      </c>
      <c r="C17" s="3" t="s">
        <v>87</v>
      </c>
      <c r="D17" s="3" t="s">
        <v>495</v>
      </c>
      <c r="E17" s="3" t="s">
        <v>14</v>
      </c>
      <c r="F17" s="3" t="s">
        <v>63</v>
      </c>
      <c r="G17" s="3" t="s">
        <v>406</v>
      </c>
      <c r="H17" s="11">
        <v>45935.665277777778</v>
      </c>
      <c r="I17" s="11">
        <v>45936.80972222222</v>
      </c>
      <c r="J17" s="11">
        <v>45936.80972222222</v>
      </c>
      <c r="K17" s="3" t="s">
        <v>39</v>
      </c>
      <c r="L17" s="3" t="s">
        <v>472</v>
      </c>
      <c r="M17" s="3" t="s">
        <v>496</v>
      </c>
      <c r="N17" s="3" t="s">
        <v>463</v>
      </c>
      <c r="O17" s="3" t="s">
        <v>288</v>
      </c>
      <c r="P17">
        <v>3</v>
      </c>
      <c r="Q17" s="3" t="s">
        <v>410</v>
      </c>
      <c r="R17" s="3" t="s">
        <v>288</v>
      </c>
      <c r="S17" s="3" t="s">
        <v>288</v>
      </c>
      <c r="T17" s="3" t="s">
        <v>424</v>
      </c>
      <c r="U17">
        <v>125</v>
      </c>
      <c r="V17" s="3" t="s">
        <v>88</v>
      </c>
      <c r="W17" s="3" t="s">
        <v>26</v>
      </c>
      <c r="X17" s="3" t="s">
        <v>18</v>
      </c>
      <c r="Y17" s="3" t="s">
        <v>28</v>
      </c>
      <c r="Z17" s="3" t="s">
        <v>21</v>
      </c>
      <c r="AA17" s="3" t="s">
        <v>458</v>
      </c>
      <c r="AB17" s="3" t="s">
        <v>296</v>
      </c>
      <c r="AC17" s="3" t="s">
        <v>288</v>
      </c>
      <c r="AD17" s="3" t="s">
        <v>426</v>
      </c>
      <c r="AE17" s="3" t="s">
        <v>483</v>
      </c>
      <c r="AF17" s="3" t="s">
        <v>288</v>
      </c>
      <c r="AG17" s="11">
        <v>45935.665277777778</v>
      </c>
      <c r="AH17" s="11">
        <v>45936.80972222222</v>
      </c>
      <c r="AI17" s="10"/>
      <c r="AJ17">
        <v>0</v>
      </c>
      <c r="AK17" s="3" t="s">
        <v>436</v>
      </c>
      <c r="AL17" s="3" t="s">
        <v>437</v>
      </c>
    </row>
    <row r="18" spans="1:38" x14ac:dyDescent="0.25">
      <c r="A18" s="3" t="s">
        <v>89</v>
      </c>
      <c r="B18" s="3" t="s">
        <v>404</v>
      </c>
      <c r="C18" s="3" t="s">
        <v>90</v>
      </c>
      <c r="D18" s="3" t="s">
        <v>497</v>
      </c>
      <c r="E18" s="3" t="s">
        <v>58</v>
      </c>
      <c r="F18" s="3" t="s">
        <v>24</v>
      </c>
      <c r="G18" s="3" t="s">
        <v>288</v>
      </c>
      <c r="H18" s="11">
        <v>45935.734027777777</v>
      </c>
      <c r="I18" s="11">
        <v>45938.484027777777</v>
      </c>
      <c r="J18" s="11"/>
      <c r="K18" s="3" t="s">
        <v>34</v>
      </c>
      <c r="L18" s="3" t="s">
        <v>498</v>
      </c>
      <c r="M18" s="3" t="s">
        <v>288</v>
      </c>
      <c r="N18" s="3" t="s">
        <v>499</v>
      </c>
      <c r="O18" s="3" t="s">
        <v>500</v>
      </c>
      <c r="P18">
        <v>1</v>
      </c>
      <c r="Q18" s="3" t="s">
        <v>422</v>
      </c>
      <c r="R18" s="3" t="s">
        <v>288</v>
      </c>
      <c r="S18" s="3" t="s">
        <v>288</v>
      </c>
      <c r="T18" s="3" t="s">
        <v>288</v>
      </c>
      <c r="V18" s="3" t="s">
        <v>91</v>
      </c>
      <c r="W18" s="3" t="s">
        <v>26</v>
      </c>
      <c r="X18" s="3" t="s">
        <v>18</v>
      </c>
      <c r="Y18" s="3" t="s">
        <v>67</v>
      </c>
      <c r="Z18" s="3" t="s">
        <v>29</v>
      </c>
      <c r="AA18" s="3" t="s">
        <v>412</v>
      </c>
      <c r="AB18" s="3" t="s">
        <v>288</v>
      </c>
      <c r="AC18" s="3" t="s">
        <v>288</v>
      </c>
      <c r="AD18" s="3" t="s">
        <v>434</v>
      </c>
      <c r="AE18" s="3" t="s">
        <v>494</v>
      </c>
      <c r="AF18" s="3" t="s">
        <v>288</v>
      </c>
      <c r="AG18" s="11">
        <v>45935.734027777777</v>
      </c>
      <c r="AH18" s="11"/>
      <c r="AI18" s="10"/>
      <c r="AJ18">
        <v>3</v>
      </c>
      <c r="AK18" s="3" t="s">
        <v>415</v>
      </c>
      <c r="AL18" s="3" t="s">
        <v>416</v>
      </c>
    </row>
    <row r="19" spans="1:38" x14ac:dyDescent="0.25">
      <c r="A19" s="3" t="s">
        <v>92</v>
      </c>
      <c r="B19" s="3" t="s">
        <v>404</v>
      </c>
      <c r="C19" s="3" t="s">
        <v>93</v>
      </c>
      <c r="D19" s="3" t="s">
        <v>501</v>
      </c>
      <c r="E19" s="3" t="s">
        <v>14</v>
      </c>
      <c r="F19" s="3" t="s">
        <v>24</v>
      </c>
      <c r="G19" s="3" t="s">
        <v>406</v>
      </c>
      <c r="H19" s="11">
        <v>45935.745833333334</v>
      </c>
      <c r="I19" s="11">
        <v>45936.70208333333</v>
      </c>
      <c r="J19" s="11">
        <v>45936.70208333333</v>
      </c>
      <c r="K19" s="3" t="s">
        <v>19</v>
      </c>
      <c r="L19" s="3" t="s">
        <v>502</v>
      </c>
      <c r="M19" s="3" t="s">
        <v>503</v>
      </c>
      <c r="N19" s="3" t="s">
        <v>504</v>
      </c>
      <c r="O19" s="3" t="s">
        <v>432</v>
      </c>
      <c r="P19">
        <v>3</v>
      </c>
      <c r="Q19" s="3" t="s">
        <v>422</v>
      </c>
      <c r="R19" s="3" t="s">
        <v>288</v>
      </c>
      <c r="S19" s="3" t="s">
        <v>288</v>
      </c>
      <c r="T19" s="3" t="s">
        <v>480</v>
      </c>
      <c r="U19">
        <v>100</v>
      </c>
      <c r="V19" s="3" t="s">
        <v>94</v>
      </c>
      <c r="W19" s="3" t="s">
        <v>17</v>
      </c>
      <c r="X19" s="3" t="s">
        <v>53</v>
      </c>
      <c r="Y19" s="3" t="s">
        <v>46</v>
      </c>
      <c r="Z19" s="3" t="s">
        <v>21</v>
      </c>
      <c r="AA19" s="3" t="s">
        <v>458</v>
      </c>
      <c r="AB19" s="3" t="s">
        <v>297</v>
      </c>
      <c r="AC19" s="3" t="s">
        <v>288</v>
      </c>
      <c r="AD19" s="3" t="s">
        <v>482</v>
      </c>
      <c r="AE19" s="3" t="s">
        <v>445</v>
      </c>
      <c r="AF19" s="3" t="s">
        <v>288</v>
      </c>
      <c r="AG19" s="11">
        <v>45935.745833333334</v>
      </c>
      <c r="AH19" s="11">
        <v>45936.70208333333</v>
      </c>
      <c r="AI19" s="10">
        <v>45942</v>
      </c>
      <c r="AJ19">
        <v>0</v>
      </c>
      <c r="AK19" s="3" t="s">
        <v>436</v>
      </c>
      <c r="AL19" s="3" t="s">
        <v>416</v>
      </c>
    </row>
    <row r="20" spans="1:38" x14ac:dyDescent="0.25">
      <c r="A20" s="3" t="s">
        <v>95</v>
      </c>
      <c r="B20" s="3" t="s">
        <v>446</v>
      </c>
      <c r="C20" s="3" t="s">
        <v>96</v>
      </c>
      <c r="D20" s="3" t="s">
        <v>505</v>
      </c>
      <c r="E20" s="3" t="s">
        <v>97</v>
      </c>
      <c r="F20" s="3" t="s">
        <v>24</v>
      </c>
      <c r="G20" s="3" t="s">
        <v>406</v>
      </c>
      <c r="H20" s="11">
        <v>45936.342361111114</v>
      </c>
      <c r="I20" s="11">
        <v>45937.67083333333</v>
      </c>
      <c r="J20" s="11">
        <v>45937.67083333333</v>
      </c>
      <c r="K20" s="3" t="s">
        <v>27</v>
      </c>
      <c r="L20" s="3" t="s">
        <v>472</v>
      </c>
      <c r="M20" s="3" t="s">
        <v>478</v>
      </c>
      <c r="N20" s="3" t="s">
        <v>457</v>
      </c>
      <c r="O20" s="3" t="s">
        <v>506</v>
      </c>
      <c r="P20">
        <v>1</v>
      </c>
      <c r="Q20" s="3" t="s">
        <v>288</v>
      </c>
      <c r="R20" s="3" t="s">
        <v>288</v>
      </c>
      <c r="S20" s="3" t="s">
        <v>288</v>
      </c>
      <c r="T20" s="3" t="s">
        <v>424</v>
      </c>
      <c r="U20">
        <v>315</v>
      </c>
      <c r="V20" s="3" t="s">
        <v>98</v>
      </c>
      <c r="W20" s="3" t="s">
        <v>26</v>
      </c>
      <c r="X20" s="3" t="s">
        <v>45</v>
      </c>
      <c r="Y20" s="3" t="s">
        <v>28</v>
      </c>
      <c r="Z20" s="3" t="s">
        <v>29</v>
      </c>
      <c r="AA20" s="3" t="s">
        <v>412</v>
      </c>
      <c r="AB20" s="3" t="s">
        <v>298</v>
      </c>
      <c r="AC20" s="3" t="s">
        <v>288</v>
      </c>
      <c r="AD20" s="3" t="s">
        <v>460</v>
      </c>
      <c r="AE20" s="3" t="s">
        <v>445</v>
      </c>
      <c r="AF20" s="3" t="s">
        <v>288</v>
      </c>
      <c r="AG20" s="11">
        <v>45936.342361111114</v>
      </c>
      <c r="AH20" s="11">
        <v>45937.67083333333</v>
      </c>
      <c r="AI20" s="10"/>
      <c r="AJ20">
        <v>2</v>
      </c>
      <c r="AK20" s="3" t="s">
        <v>428</v>
      </c>
      <c r="AL20" s="3" t="s">
        <v>416</v>
      </c>
    </row>
    <row r="21" spans="1:38" x14ac:dyDescent="0.25">
      <c r="A21" s="3" t="s">
        <v>99</v>
      </c>
      <c r="B21" s="3" t="s">
        <v>404</v>
      </c>
      <c r="C21" s="3" t="s">
        <v>100</v>
      </c>
      <c r="D21" s="3" t="s">
        <v>507</v>
      </c>
      <c r="E21" s="3" t="s">
        <v>14</v>
      </c>
      <c r="F21" s="3" t="s">
        <v>24</v>
      </c>
      <c r="G21" s="3" t="s">
        <v>406</v>
      </c>
      <c r="H21" s="11">
        <v>45936.453472222223</v>
      </c>
      <c r="I21" s="11">
        <v>45938.155555555553</v>
      </c>
      <c r="J21" s="11">
        <v>45938.155555555553</v>
      </c>
      <c r="K21" s="3" t="s">
        <v>27</v>
      </c>
      <c r="L21" s="3" t="s">
        <v>466</v>
      </c>
      <c r="M21" s="3" t="s">
        <v>496</v>
      </c>
      <c r="N21" s="3" t="s">
        <v>508</v>
      </c>
      <c r="O21" s="3" t="s">
        <v>443</v>
      </c>
      <c r="P21">
        <v>2</v>
      </c>
      <c r="Q21" s="3" t="s">
        <v>288</v>
      </c>
      <c r="R21" s="3" t="s">
        <v>288</v>
      </c>
      <c r="S21" s="3" t="s">
        <v>288</v>
      </c>
      <c r="T21" s="3" t="s">
        <v>424</v>
      </c>
      <c r="U21">
        <v>383</v>
      </c>
      <c r="V21" s="3" t="s">
        <v>101</v>
      </c>
      <c r="W21" s="3" t="s">
        <v>17</v>
      </c>
      <c r="X21" s="3" t="s">
        <v>38</v>
      </c>
      <c r="Y21" s="3" t="s">
        <v>102</v>
      </c>
      <c r="Z21" s="3" t="s">
        <v>41</v>
      </c>
      <c r="AA21" s="3" t="s">
        <v>412</v>
      </c>
      <c r="AB21" s="3" t="s">
        <v>299</v>
      </c>
      <c r="AC21" s="3" t="s">
        <v>288</v>
      </c>
      <c r="AD21" s="3" t="s">
        <v>426</v>
      </c>
      <c r="AE21" s="3" t="s">
        <v>453</v>
      </c>
      <c r="AF21" s="3" t="s">
        <v>509</v>
      </c>
      <c r="AG21" s="11">
        <v>45936.453472222223</v>
      </c>
      <c r="AH21" s="11">
        <v>45938.155555555553</v>
      </c>
      <c r="AI21" s="10">
        <v>45937</v>
      </c>
      <c r="AJ21">
        <v>1</v>
      </c>
      <c r="AK21" s="3" t="s">
        <v>436</v>
      </c>
      <c r="AL21" s="3" t="s">
        <v>437</v>
      </c>
    </row>
    <row r="22" spans="1:38" x14ac:dyDescent="0.25">
      <c r="A22" s="3" t="s">
        <v>103</v>
      </c>
      <c r="B22" s="3" t="s">
        <v>404</v>
      </c>
      <c r="C22" s="3" t="s">
        <v>104</v>
      </c>
      <c r="D22" s="3" t="s">
        <v>510</v>
      </c>
      <c r="E22" s="3" t="s">
        <v>14</v>
      </c>
      <c r="F22" s="3" t="s">
        <v>24</v>
      </c>
      <c r="G22" s="3" t="s">
        <v>406</v>
      </c>
      <c r="H22" s="11">
        <v>45936.664583333331</v>
      </c>
      <c r="I22" s="11">
        <v>45936.828472222223</v>
      </c>
      <c r="J22" s="11">
        <v>45936.828472222223</v>
      </c>
      <c r="K22" s="3" t="s">
        <v>19</v>
      </c>
      <c r="L22" s="3" t="s">
        <v>430</v>
      </c>
      <c r="M22" s="3" t="s">
        <v>478</v>
      </c>
      <c r="N22" s="3" t="s">
        <v>511</v>
      </c>
      <c r="O22" s="3" t="s">
        <v>288</v>
      </c>
      <c r="P22">
        <v>3</v>
      </c>
      <c r="Q22" s="3" t="s">
        <v>288</v>
      </c>
      <c r="R22" s="3" t="s">
        <v>480</v>
      </c>
      <c r="S22" s="3" t="s">
        <v>288</v>
      </c>
      <c r="T22" s="3" t="s">
        <v>424</v>
      </c>
      <c r="U22">
        <v>406</v>
      </c>
      <c r="V22" s="3" t="s">
        <v>76</v>
      </c>
      <c r="W22" s="3" t="s">
        <v>26</v>
      </c>
      <c r="X22" s="3" t="s">
        <v>45</v>
      </c>
      <c r="Y22" s="3" t="s">
        <v>55</v>
      </c>
      <c r="Z22" s="3" t="s">
        <v>29</v>
      </c>
      <c r="AA22" s="3" t="s">
        <v>425</v>
      </c>
      <c r="AB22" s="3" t="s">
        <v>300</v>
      </c>
      <c r="AC22" s="3" t="s">
        <v>288</v>
      </c>
      <c r="AD22" s="3" t="s">
        <v>413</v>
      </c>
      <c r="AE22" s="3" t="s">
        <v>414</v>
      </c>
      <c r="AF22" s="3" t="s">
        <v>288</v>
      </c>
      <c r="AG22" s="11">
        <v>45936.664583333331</v>
      </c>
      <c r="AH22" s="11">
        <v>45936.828472222223</v>
      </c>
      <c r="AI22" s="10"/>
      <c r="AJ22">
        <v>1</v>
      </c>
      <c r="AK22" s="3" t="s">
        <v>428</v>
      </c>
      <c r="AL22" s="3" t="s">
        <v>437</v>
      </c>
    </row>
    <row r="23" spans="1:38" x14ac:dyDescent="0.25">
      <c r="A23" s="3" t="s">
        <v>105</v>
      </c>
      <c r="B23" s="3" t="s">
        <v>404</v>
      </c>
      <c r="C23" s="3" t="s">
        <v>106</v>
      </c>
      <c r="D23" s="3" t="s">
        <v>512</v>
      </c>
      <c r="E23" s="3" t="s">
        <v>97</v>
      </c>
      <c r="F23" s="3" t="s">
        <v>24</v>
      </c>
      <c r="G23" s="3" t="s">
        <v>406</v>
      </c>
      <c r="H23" s="11">
        <v>45937.376388888886</v>
      </c>
      <c r="I23" s="11">
        <v>45938.52847222222</v>
      </c>
      <c r="J23" s="11">
        <v>45938.52847222222</v>
      </c>
      <c r="K23" s="3" t="s">
        <v>19</v>
      </c>
      <c r="L23" s="3" t="s">
        <v>492</v>
      </c>
      <c r="M23" s="3" t="s">
        <v>418</v>
      </c>
      <c r="N23" s="3" t="s">
        <v>409</v>
      </c>
      <c r="O23" s="3" t="s">
        <v>288</v>
      </c>
      <c r="P23">
        <v>1</v>
      </c>
      <c r="Q23" s="3" t="s">
        <v>422</v>
      </c>
      <c r="R23" s="3" t="s">
        <v>288</v>
      </c>
      <c r="S23" s="3" t="s">
        <v>288</v>
      </c>
      <c r="T23" s="3" t="s">
        <v>433</v>
      </c>
      <c r="U23">
        <v>253</v>
      </c>
      <c r="V23" s="3" t="s">
        <v>50</v>
      </c>
      <c r="W23" s="3" t="s">
        <v>17</v>
      </c>
      <c r="X23" s="3" t="s">
        <v>71</v>
      </c>
      <c r="Y23" s="3" t="s">
        <v>46</v>
      </c>
      <c r="Z23" s="3" t="s">
        <v>47</v>
      </c>
      <c r="AA23" s="3" t="s">
        <v>412</v>
      </c>
      <c r="AB23" s="3" t="s">
        <v>301</v>
      </c>
      <c r="AC23" s="3" t="s">
        <v>513</v>
      </c>
      <c r="AD23" s="3" t="s">
        <v>413</v>
      </c>
      <c r="AE23" s="3" t="s">
        <v>445</v>
      </c>
      <c r="AF23" s="3" t="s">
        <v>288</v>
      </c>
      <c r="AG23" s="11">
        <v>45937.376388888886</v>
      </c>
      <c r="AH23" s="11">
        <v>45938.52847222222</v>
      </c>
      <c r="AI23" s="10"/>
      <c r="AJ23">
        <v>2</v>
      </c>
      <c r="AK23" s="3" t="s">
        <v>428</v>
      </c>
      <c r="AL23" s="3" t="s">
        <v>416</v>
      </c>
    </row>
    <row r="24" spans="1:38" x14ac:dyDescent="0.25">
      <c r="A24" s="3" t="s">
        <v>107</v>
      </c>
      <c r="B24" s="3" t="s">
        <v>446</v>
      </c>
      <c r="C24" s="3" t="s">
        <v>108</v>
      </c>
      <c r="D24" s="3" t="s">
        <v>514</v>
      </c>
      <c r="E24" s="3" t="s">
        <v>14</v>
      </c>
      <c r="F24" s="3" t="s">
        <v>24</v>
      </c>
      <c r="G24" s="3" t="s">
        <v>406</v>
      </c>
      <c r="H24" s="11">
        <v>45937.640277777777</v>
      </c>
      <c r="I24" s="11">
        <v>45938.275000000001</v>
      </c>
      <c r="J24" s="11">
        <v>45938.275000000001</v>
      </c>
      <c r="K24" s="3" t="s">
        <v>54</v>
      </c>
      <c r="L24" s="3" t="s">
        <v>441</v>
      </c>
      <c r="M24" s="3" t="s">
        <v>478</v>
      </c>
      <c r="N24" s="3" t="s">
        <v>515</v>
      </c>
      <c r="O24" s="3" t="s">
        <v>432</v>
      </c>
      <c r="P24">
        <v>2</v>
      </c>
      <c r="Q24" s="3" t="s">
        <v>288</v>
      </c>
      <c r="R24" s="3" t="s">
        <v>480</v>
      </c>
      <c r="S24" s="3" t="s">
        <v>288</v>
      </c>
      <c r="T24" s="3" t="s">
        <v>411</v>
      </c>
      <c r="U24">
        <v>375</v>
      </c>
      <c r="V24" s="3" t="s">
        <v>109</v>
      </c>
      <c r="W24" s="3" t="s">
        <v>17</v>
      </c>
      <c r="X24" s="3" t="s">
        <v>18</v>
      </c>
      <c r="Y24" s="3" t="s">
        <v>110</v>
      </c>
      <c r="Z24" s="3" t="s">
        <v>21</v>
      </c>
      <c r="AA24" s="3" t="s">
        <v>425</v>
      </c>
      <c r="AB24" s="3" t="s">
        <v>302</v>
      </c>
      <c r="AC24" s="3" t="s">
        <v>288</v>
      </c>
      <c r="AD24" s="3" t="s">
        <v>413</v>
      </c>
      <c r="AE24" s="3" t="s">
        <v>453</v>
      </c>
      <c r="AF24" s="3" t="s">
        <v>288</v>
      </c>
      <c r="AG24" s="11">
        <v>45937.640277777777</v>
      </c>
      <c r="AH24" s="11">
        <v>45938.275000000001</v>
      </c>
      <c r="AI24" s="10"/>
      <c r="AJ24">
        <v>2</v>
      </c>
      <c r="AK24" s="3" t="s">
        <v>428</v>
      </c>
      <c r="AL24" s="3" t="s">
        <v>437</v>
      </c>
    </row>
    <row r="25" spans="1:38" x14ac:dyDescent="0.25">
      <c r="A25" s="3" t="s">
        <v>111</v>
      </c>
      <c r="B25" s="3" t="s">
        <v>446</v>
      </c>
      <c r="C25" s="3" t="s">
        <v>112</v>
      </c>
      <c r="D25" s="3" t="s">
        <v>516</v>
      </c>
      <c r="E25" s="3" t="s">
        <v>113</v>
      </c>
      <c r="F25" s="3" t="s">
        <v>24</v>
      </c>
      <c r="G25" s="3" t="s">
        <v>288</v>
      </c>
      <c r="H25" s="11">
        <v>45937.777777777781</v>
      </c>
      <c r="I25" s="11">
        <v>45940.027777777781</v>
      </c>
      <c r="J25" s="11"/>
      <c r="K25" s="3" t="s">
        <v>54</v>
      </c>
      <c r="L25" s="3" t="s">
        <v>502</v>
      </c>
      <c r="M25" s="3" t="s">
        <v>288</v>
      </c>
      <c r="N25" s="3" t="s">
        <v>479</v>
      </c>
      <c r="O25" s="3" t="s">
        <v>432</v>
      </c>
      <c r="P25">
        <v>3</v>
      </c>
      <c r="Q25" s="3" t="s">
        <v>410</v>
      </c>
      <c r="R25" s="3" t="s">
        <v>288</v>
      </c>
      <c r="S25" s="3" t="s">
        <v>288</v>
      </c>
      <c r="T25" s="3" t="s">
        <v>288</v>
      </c>
      <c r="V25" s="3" t="s">
        <v>114</v>
      </c>
      <c r="W25" s="3" t="s">
        <v>26</v>
      </c>
      <c r="X25" s="3" t="s">
        <v>45</v>
      </c>
      <c r="Y25" s="3" t="s">
        <v>73</v>
      </c>
      <c r="Z25" s="3" t="s">
        <v>41</v>
      </c>
      <c r="AA25" s="3" t="s">
        <v>412</v>
      </c>
      <c r="AB25" s="3" t="s">
        <v>288</v>
      </c>
      <c r="AC25" s="3" t="s">
        <v>513</v>
      </c>
      <c r="AD25" s="3" t="s">
        <v>413</v>
      </c>
      <c r="AE25" s="3" t="s">
        <v>490</v>
      </c>
      <c r="AF25" s="3" t="s">
        <v>517</v>
      </c>
      <c r="AG25" s="11">
        <v>45937.777777777781</v>
      </c>
      <c r="AH25" s="11"/>
      <c r="AI25" s="10"/>
      <c r="AJ25">
        <v>0</v>
      </c>
      <c r="AK25" s="3" t="s">
        <v>436</v>
      </c>
      <c r="AL25" s="3" t="s">
        <v>416</v>
      </c>
    </row>
    <row r="26" spans="1:38" x14ac:dyDescent="0.25">
      <c r="A26" s="3" t="s">
        <v>115</v>
      </c>
      <c r="B26" s="3" t="s">
        <v>438</v>
      </c>
      <c r="C26" s="3" t="s">
        <v>116</v>
      </c>
      <c r="D26" s="3" t="s">
        <v>518</v>
      </c>
      <c r="E26" s="3" t="s">
        <v>14</v>
      </c>
      <c r="F26" s="3" t="s">
        <v>24</v>
      </c>
      <c r="G26" s="3" t="s">
        <v>406</v>
      </c>
      <c r="H26" s="11">
        <v>45938.549305555556</v>
      </c>
      <c r="I26" s="11">
        <v>45940.489583333336</v>
      </c>
      <c r="J26" s="11">
        <v>45940.489583333336</v>
      </c>
      <c r="K26" s="3" t="s">
        <v>72</v>
      </c>
      <c r="L26" s="3" t="s">
        <v>519</v>
      </c>
      <c r="M26" s="3" t="s">
        <v>440</v>
      </c>
      <c r="N26" s="3" t="s">
        <v>504</v>
      </c>
      <c r="O26" s="3" t="s">
        <v>500</v>
      </c>
      <c r="P26">
        <v>0</v>
      </c>
      <c r="Q26" s="3" t="s">
        <v>288</v>
      </c>
      <c r="R26" s="3" t="s">
        <v>288</v>
      </c>
      <c r="S26" s="3" t="s">
        <v>288</v>
      </c>
      <c r="T26" s="3" t="s">
        <v>433</v>
      </c>
      <c r="U26">
        <v>410</v>
      </c>
      <c r="V26" s="3" t="s">
        <v>50</v>
      </c>
      <c r="W26" s="3" t="s">
        <v>17</v>
      </c>
      <c r="X26" s="3" t="s">
        <v>18</v>
      </c>
      <c r="Y26" s="3" t="s">
        <v>46</v>
      </c>
      <c r="Z26" s="3" t="s">
        <v>21</v>
      </c>
      <c r="AA26" s="3" t="s">
        <v>458</v>
      </c>
      <c r="AB26" s="3" t="s">
        <v>303</v>
      </c>
      <c r="AC26" s="3" t="s">
        <v>288</v>
      </c>
      <c r="AD26" s="3" t="s">
        <v>434</v>
      </c>
      <c r="AE26" s="3" t="s">
        <v>453</v>
      </c>
      <c r="AF26" s="3" t="s">
        <v>288</v>
      </c>
      <c r="AG26" s="11">
        <v>45938.549305555556</v>
      </c>
      <c r="AH26" s="11">
        <v>45940.489583333336</v>
      </c>
      <c r="AI26" s="10">
        <v>45943</v>
      </c>
      <c r="AJ26">
        <v>0</v>
      </c>
      <c r="AK26" s="3" t="s">
        <v>415</v>
      </c>
      <c r="AL26" s="3" t="s">
        <v>416</v>
      </c>
    </row>
    <row r="27" spans="1:38" x14ac:dyDescent="0.25">
      <c r="A27" s="3" t="s">
        <v>117</v>
      </c>
      <c r="B27" s="3" t="s">
        <v>446</v>
      </c>
      <c r="C27" s="3" t="s">
        <v>118</v>
      </c>
      <c r="D27" s="3" t="s">
        <v>520</v>
      </c>
      <c r="E27" s="3" t="s">
        <v>97</v>
      </c>
      <c r="F27" s="3" t="s">
        <v>24</v>
      </c>
      <c r="G27" s="3" t="s">
        <v>406</v>
      </c>
      <c r="H27" s="11">
        <v>45938.597916666666</v>
      </c>
      <c r="I27" s="11">
        <v>45939.699305555558</v>
      </c>
      <c r="J27" s="11">
        <v>45939.699305555558</v>
      </c>
      <c r="K27" s="3" t="s">
        <v>19</v>
      </c>
      <c r="L27" s="3" t="s">
        <v>521</v>
      </c>
      <c r="M27" s="3" t="s">
        <v>430</v>
      </c>
      <c r="N27" s="3" t="s">
        <v>522</v>
      </c>
      <c r="O27" s="3" t="s">
        <v>288</v>
      </c>
      <c r="P27">
        <v>0</v>
      </c>
      <c r="Q27" s="3" t="s">
        <v>422</v>
      </c>
      <c r="R27" s="3" t="s">
        <v>288</v>
      </c>
      <c r="S27" s="3" t="s">
        <v>288</v>
      </c>
      <c r="T27" s="3" t="s">
        <v>423</v>
      </c>
      <c r="U27">
        <v>436</v>
      </c>
      <c r="V27" s="3" t="s">
        <v>32</v>
      </c>
      <c r="W27" s="3" t="s">
        <v>17</v>
      </c>
      <c r="X27" s="3" t="s">
        <v>71</v>
      </c>
      <c r="Y27" s="3" t="s">
        <v>110</v>
      </c>
      <c r="Z27" s="3" t="s">
        <v>29</v>
      </c>
      <c r="AA27" s="3" t="s">
        <v>476</v>
      </c>
      <c r="AB27" s="3" t="s">
        <v>304</v>
      </c>
      <c r="AC27" s="3" t="s">
        <v>523</v>
      </c>
      <c r="AD27" s="3" t="s">
        <v>482</v>
      </c>
      <c r="AE27" s="3" t="s">
        <v>524</v>
      </c>
      <c r="AF27" s="3" t="s">
        <v>288</v>
      </c>
      <c r="AG27" s="11">
        <v>45938.597916666666</v>
      </c>
      <c r="AH27" s="11">
        <v>45939.699305555558</v>
      </c>
      <c r="AI27" s="10"/>
      <c r="AJ27">
        <v>3</v>
      </c>
      <c r="AK27" s="3" t="s">
        <v>428</v>
      </c>
      <c r="AL27" s="3" t="s">
        <v>416</v>
      </c>
    </row>
    <row r="28" spans="1:38" x14ac:dyDescent="0.25">
      <c r="A28" s="3" t="s">
        <v>119</v>
      </c>
      <c r="B28" s="3" t="s">
        <v>404</v>
      </c>
      <c r="C28" s="3" t="s">
        <v>120</v>
      </c>
      <c r="D28" s="3" t="s">
        <v>525</v>
      </c>
      <c r="E28" s="3" t="s">
        <v>14</v>
      </c>
      <c r="F28" s="3" t="s">
        <v>24</v>
      </c>
      <c r="G28" s="3" t="s">
        <v>406</v>
      </c>
      <c r="H28" s="11">
        <v>45938.69027777778</v>
      </c>
      <c r="I28" s="11">
        <v>45940.292361111111</v>
      </c>
      <c r="J28" s="11">
        <v>45940.292361111111</v>
      </c>
      <c r="K28" s="3" t="s">
        <v>34</v>
      </c>
      <c r="L28" s="3" t="s">
        <v>419</v>
      </c>
      <c r="M28" s="3" t="s">
        <v>526</v>
      </c>
      <c r="N28" s="3" t="s">
        <v>450</v>
      </c>
      <c r="O28" s="3" t="s">
        <v>506</v>
      </c>
      <c r="P28">
        <v>0</v>
      </c>
      <c r="Q28" s="3" t="s">
        <v>422</v>
      </c>
      <c r="R28" s="3" t="s">
        <v>424</v>
      </c>
      <c r="S28" s="3" t="s">
        <v>288</v>
      </c>
      <c r="T28" s="3" t="s">
        <v>411</v>
      </c>
      <c r="U28">
        <v>490</v>
      </c>
      <c r="V28" s="3" t="s">
        <v>101</v>
      </c>
      <c r="W28" s="3" t="s">
        <v>17</v>
      </c>
      <c r="X28" s="3" t="s">
        <v>121</v>
      </c>
      <c r="Y28" s="3" t="s">
        <v>28</v>
      </c>
      <c r="Z28" s="3" t="s">
        <v>21</v>
      </c>
      <c r="AA28" s="3" t="s">
        <v>412</v>
      </c>
      <c r="AB28" s="3" t="s">
        <v>305</v>
      </c>
      <c r="AC28" s="3" t="s">
        <v>527</v>
      </c>
      <c r="AD28" s="3" t="s">
        <v>413</v>
      </c>
      <c r="AE28" s="3" t="s">
        <v>435</v>
      </c>
      <c r="AF28" s="3" t="s">
        <v>288</v>
      </c>
      <c r="AG28" s="11">
        <v>45938.69027777778</v>
      </c>
      <c r="AH28" s="11">
        <v>45940.292361111111</v>
      </c>
      <c r="AI28" s="10">
        <v>45943</v>
      </c>
      <c r="AJ28">
        <v>0</v>
      </c>
      <c r="AK28" s="3" t="s">
        <v>428</v>
      </c>
      <c r="AL28" s="3" t="s">
        <v>437</v>
      </c>
    </row>
    <row r="29" spans="1:38" x14ac:dyDescent="0.25">
      <c r="A29" s="3" t="s">
        <v>122</v>
      </c>
      <c r="B29" s="3" t="s">
        <v>446</v>
      </c>
      <c r="C29" s="3" t="s">
        <v>123</v>
      </c>
      <c r="D29" s="3" t="s">
        <v>528</v>
      </c>
      <c r="E29" s="3" t="s">
        <v>58</v>
      </c>
      <c r="F29" s="3" t="s">
        <v>63</v>
      </c>
      <c r="G29" s="3" t="s">
        <v>288</v>
      </c>
      <c r="H29" s="11">
        <v>45938.739583333336</v>
      </c>
      <c r="I29" s="11">
        <v>45940.03125</v>
      </c>
      <c r="J29" s="11"/>
      <c r="K29" s="3" t="s">
        <v>39</v>
      </c>
      <c r="L29" s="3" t="s">
        <v>529</v>
      </c>
      <c r="M29" s="3" t="s">
        <v>288</v>
      </c>
      <c r="N29" s="3" t="s">
        <v>530</v>
      </c>
      <c r="O29" s="3" t="s">
        <v>288</v>
      </c>
      <c r="P29">
        <v>3</v>
      </c>
      <c r="Q29" s="3" t="s">
        <v>410</v>
      </c>
      <c r="R29" s="3" t="s">
        <v>288</v>
      </c>
      <c r="S29" s="3" t="s">
        <v>288</v>
      </c>
      <c r="T29" s="3" t="s">
        <v>288</v>
      </c>
      <c r="V29" s="3" t="s">
        <v>32</v>
      </c>
      <c r="W29" s="3" t="s">
        <v>17</v>
      </c>
      <c r="X29" s="3" t="s">
        <v>124</v>
      </c>
      <c r="Y29" s="3" t="s">
        <v>40</v>
      </c>
      <c r="Z29" s="3" t="s">
        <v>47</v>
      </c>
      <c r="AA29" s="3" t="s">
        <v>476</v>
      </c>
      <c r="AB29" s="3" t="s">
        <v>288</v>
      </c>
      <c r="AC29" s="3" t="s">
        <v>288</v>
      </c>
      <c r="AD29" s="3" t="s">
        <v>426</v>
      </c>
      <c r="AE29" s="3" t="s">
        <v>427</v>
      </c>
      <c r="AF29" s="3" t="s">
        <v>288</v>
      </c>
      <c r="AG29" s="11">
        <v>45938.739583333336</v>
      </c>
      <c r="AH29" s="11"/>
      <c r="AI29" s="10">
        <v>45944</v>
      </c>
      <c r="AJ29">
        <v>3</v>
      </c>
      <c r="AK29" s="3" t="s">
        <v>436</v>
      </c>
      <c r="AL29" s="3" t="s">
        <v>454</v>
      </c>
    </row>
    <row r="30" spans="1:38" x14ac:dyDescent="0.25">
      <c r="A30" s="3" t="s">
        <v>125</v>
      </c>
      <c r="B30" s="3" t="s">
        <v>404</v>
      </c>
      <c r="C30" s="3" t="s">
        <v>126</v>
      </c>
      <c r="D30" s="3" t="s">
        <v>531</v>
      </c>
      <c r="E30" s="3" t="s">
        <v>14</v>
      </c>
      <c r="F30" s="3" t="s">
        <v>15</v>
      </c>
      <c r="G30" s="3" t="s">
        <v>406</v>
      </c>
      <c r="H30" s="11">
        <v>45939.363888888889</v>
      </c>
      <c r="I30" s="11">
        <v>45940.591666666667</v>
      </c>
      <c r="J30" s="11">
        <v>45940.591666666667</v>
      </c>
      <c r="K30" s="3" t="s">
        <v>34</v>
      </c>
      <c r="L30" s="3" t="s">
        <v>456</v>
      </c>
      <c r="M30" s="3" t="s">
        <v>441</v>
      </c>
      <c r="N30" s="3" t="s">
        <v>467</v>
      </c>
      <c r="O30" s="3" t="s">
        <v>288</v>
      </c>
      <c r="P30">
        <v>1</v>
      </c>
      <c r="Q30" s="3" t="s">
        <v>410</v>
      </c>
      <c r="R30" s="3" t="s">
        <v>480</v>
      </c>
      <c r="S30" s="3" t="s">
        <v>288</v>
      </c>
      <c r="T30" s="3" t="s">
        <v>424</v>
      </c>
      <c r="U30">
        <v>174</v>
      </c>
      <c r="V30" s="3" t="s">
        <v>127</v>
      </c>
      <c r="W30" s="3" t="s">
        <v>17</v>
      </c>
      <c r="X30" s="3" t="s">
        <v>38</v>
      </c>
      <c r="Y30" s="3" t="s">
        <v>28</v>
      </c>
      <c r="Z30" s="3" t="s">
        <v>21</v>
      </c>
      <c r="AA30" s="3" t="s">
        <v>425</v>
      </c>
      <c r="AB30" s="3" t="s">
        <v>306</v>
      </c>
      <c r="AC30" s="3" t="s">
        <v>485</v>
      </c>
      <c r="AD30" s="3" t="s">
        <v>413</v>
      </c>
      <c r="AE30" s="3" t="s">
        <v>414</v>
      </c>
      <c r="AF30" s="3" t="s">
        <v>288</v>
      </c>
      <c r="AG30" s="11">
        <v>45939.363888888889</v>
      </c>
      <c r="AH30" s="11">
        <v>45940.591666666667</v>
      </c>
      <c r="AI30" s="10">
        <v>45941</v>
      </c>
      <c r="AJ30">
        <v>2</v>
      </c>
      <c r="AK30" s="3" t="s">
        <v>415</v>
      </c>
      <c r="AL30" s="3" t="s">
        <v>454</v>
      </c>
    </row>
    <row r="31" spans="1:38" x14ac:dyDescent="0.25">
      <c r="A31" s="3" t="s">
        <v>128</v>
      </c>
      <c r="B31" s="3" t="s">
        <v>446</v>
      </c>
      <c r="C31" s="3" t="s">
        <v>129</v>
      </c>
      <c r="D31" s="3" t="s">
        <v>532</v>
      </c>
      <c r="E31" s="3" t="s">
        <v>58</v>
      </c>
      <c r="F31" s="3" t="s">
        <v>24</v>
      </c>
      <c r="G31" s="3" t="s">
        <v>288</v>
      </c>
      <c r="H31" s="11">
        <v>45939.753472222219</v>
      </c>
      <c r="I31" s="11">
        <v>45940.711805555555</v>
      </c>
      <c r="J31" s="11"/>
      <c r="K31" s="3" t="s">
        <v>19</v>
      </c>
      <c r="L31" s="3" t="s">
        <v>526</v>
      </c>
      <c r="M31" s="3" t="s">
        <v>288</v>
      </c>
      <c r="N31" s="3" t="s">
        <v>533</v>
      </c>
      <c r="O31" s="3" t="s">
        <v>475</v>
      </c>
      <c r="P31">
        <v>0</v>
      </c>
      <c r="Q31" s="3" t="s">
        <v>288</v>
      </c>
      <c r="R31" s="3" t="s">
        <v>424</v>
      </c>
      <c r="S31" s="3" t="s">
        <v>288</v>
      </c>
      <c r="T31" s="3" t="s">
        <v>288</v>
      </c>
      <c r="V31" s="3" t="s">
        <v>109</v>
      </c>
      <c r="W31" s="3" t="s">
        <v>17</v>
      </c>
      <c r="X31" s="3" t="s">
        <v>124</v>
      </c>
      <c r="Y31" s="3" t="s">
        <v>46</v>
      </c>
      <c r="Z31" s="3" t="s">
        <v>29</v>
      </c>
      <c r="AA31" s="3" t="s">
        <v>412</v>
      </c>
      <c r="AB31" s="3" t="s">
        <v>288</v>
      </c>
      <c r="AC31" s="3" t="s">
        <v>288</v>
      </c>
      <c r="AD31" s="3" t="s">
        <v>460</v>
      </c>
      <c r="AE31" s="3" t="s">
        <v>427</v>
      </c>
      <c r="AF31" s="3" t="s">
        <v>288</v>
      </c>
      <c r="AG31" s="11">
        <v>45939.753472222219</v>
      </c>
      <c r="AH31" s="11"/>
      <c r="AI31" s="10"/>
      <c r="AJ31">
        <v>0</v>
      </c>
      <c r="AK31" s="3" t="s">
        <v>428</v>
      </c>
      <c r="AL31" s="3" t="s">
        <v>454</v>
      </c>
    </row>
    <row r="32" spans="1:38" x14ac:dyDescent="0.25">
      <c r="A32" s="3" t="s">
        <v>130</v>
      </c>
      <c r="B32" s="3" t="s">
        <v>438</v>
      </c>
      <c r="C32" s="3" t="s">
        <v>131</v>
      </c>
      <c r="D32" s="3" t="s">
        <v>534</v>
      </c>
      <c r="E32" s="3" t="s">
        <v>58</v>
      </c>
      <c r="F32" s="3" t="s">
        <v>15</v>
      </c>
      <c r="G32" s="3" t="s">
        <v>288</v>
      </c>
      <c r="H32" s="11">
        <v>45939.771527777775</v>
      </c>
      <c r="I32" s="11">
        <v>45940.479861111111</v>
      </c>
      <c r="J32" s="11"/>
      <c r="K32" s="3" t="s">
        <v>72</v>
      </c>
      <c r="L32" s="3" t="s">
        <v>488</v>
      </c>
      <c r="M32" s="3" t="s">
        <v>288</v>
      </c>
      <c r="N32" s="3" t="s">
        <v>409</v>
      </c>
      <c r="O32" s="3" t="s">
        <v>288</v>
      </c>
      <c r="P32">
        <v>3</v>
      </c>
      <c r="Q32" s="3" t="s">
        <v>288</v>
      </c>
      <c r="R32" s="3" t="s">
        <v>288</v>
      </c>
      <c r="S32" s="3" t="s">
        <v>288</v>
      </c>
      <c r="T32" s="3" t="s">
        <v>288</v>
      </c>
      <c r="V32" s="3" t="s">
        <v>109</v>
      </c>
      <c r="W32" s="3" t="s">
        <v>17</v>
      </c>
      <c r="X32" s="3" t="s">
        <v>71</v>
      </c>
      <c r="Y32" s="3" t="s">
        <v>20</v>
      </c>
      <c r="Z32" s="3" t="s">
        <v>47</v>
      </c>
      <c r="AA32" s="3" t="s">
        <v>458</v>
      </c>
      <c r="AB32" s="3" t="s">
        <v>288</v>
      </c>
      <c r="AC32" s="3" t="s">
        <v>288</v>
      </c>
      <c r="AD32" s="3" t="s">
        <v>444</v>
      </c>
      <c r="AE32" s="3" t="s">
        <v>490</v>
      </c>
      <c r="AF32" s="3" t="s">
        <v>288</v>
      </c>
      <c r="AG32" s="11">
        <v>45939.771527777775</v>
      </c>
      <c r="AH32" s="11"/>
      <c r="AI32" s="10">
        <v>45946</v>
      </c>
      <c r="AJ32">
        <v>0</v>
      </c>
      <c r="AK32" s="3" t="s">
        <v>415</v>
      </c>
      <c r="AL32" s="3" t="s">
        <v>454</v>
      </c>
    </row>
    <row r="33" spans="1:38" x14ac:dyDescent="0.25">
      <c r="A33" s="3" t="s">
        <v>132</v>
      </c>
      <c r="B33" s="3" t="s">
        <v>404</v>
      </c>
      <c r="C33" s="3" t="s">
        <v>133</v>
      </c>
      <c r="D33" s="3" t="s">
        <v>535</v>
      </c>
      <c r="E33" s="3" t="s">
        <v>14</v>
      </c>
      <c r="F33" s="3" t="s">
        <v>85</v>
      </c>
      <c r="G33" s="3" t="s">
        <v>406</v>
      </c>
      <c r="H33" s="11">
        <v>45940.423611111109</v>
      </c>
      <c r="I33" s="11">
        <v>45942.35</v>
      </c>
      <c r="J33" s="11">
        <v>45942.35</v>
      </c>
      <c r="K33" s="3" t="s">
        <v>19</v>
      </c>
      <c r="L33" s="3" t="s">
        <v>462</v>
      </c>
      <c r="M33" s="3" t="s">
        <v>441</v>
      </c>
      <c r="N33" s="3" t="s">
        <v>511</v>
      </c>
      <c r="O33" s="3" t="s">
        <v>536</v>
      </c>
      <c r="P33">
        <v>3</v>
      </c>
      <c r="Q33" s="3" t="s">
        <v>422</v>
      </c>
      <c r="R33" s="3" t="s">
        <v>288</v>
      </c>
      <c r="S33" s="3" t="s">
        <v>288</v>
      </c>
      <c r="T33" s="3" t="s">
        <v>451</v>
      </c>
      <c r="U33">
        <v>254</v>
      </c>
      <c r="V33" s="3" t="s">
        <v>101</v>
      </c>
      <c r="W33" s="3" t="s">
        <v>17</v>
      </c>
      <c r="X33" s="3" t="s">
        <v>33</v>
      </c>
      <c r="Y33" s="3" t="s">
        <v>40</v>
      </c>
      <c r="Z33" s="3" t="s">
        <v>29</v>
      </c>
      <c r="AA33" s="3" t="s">
        <v>476</v>
      </c>
      <c r="AB33" s="3" t="s">
        <v>307</v>
      </c>
      <c r="AC33" s="3" t="s">
        <v>464</v>
      </c>
      <c r="AD33" s="3" t="s">
        <v>460</v>
      </c>
      <c r="AE33" s="3" t="s">
        <v>490</v>
      </c>
      <c r="AF33" s="3" t="s">
        <v>288</v>
      </c>
      <c r="AG33" s="11">
        <v>45940.423611111109</v>
      </c>
      <c r="AH33" s="11">
        <v>45942.35</v>
      </c>
      <c r="AI33" s="10"/>
      <c r="AJ33">
        <v>3</v>
      </c>
      <c r="AK33" s="3" t="s">
        <v>436</v>
      </c>
      <c r="AL33" s="3" t="s">
        <v>437</v>
      </c>
    </row>
    <row r="34" spans="1:38" x14ac:dyDescent="0.25">
      <c r="A34" s="3" t="s">
        <v>134</v>
      </c>
      <c r="B34" s="3" t="s">
        <v>438</v>
      </c>
      <c r="C34" s="3" t="s">
        <v>135</v>
      </c>
      <c r="D34" s="3" t="s">
        <v>537</v>
      </c>
      <c r="E34" s="3" t="s">
        <v>97</v>
      </c>
      <c r="F34" s="3" t="s">
        <v>85</v>
      </c>
      <c r="G34" s="3" t="s">
        <v>406</v>
      </c>
      <c r="H34" s="11">
        <v>45940.585416666669</v>
      </c>
      <c r="I34" s="11">
        <v>45941.007638888892</v>
      </c>
      <c r="J34" s="11">
        <v>45941.007638888892</v>
      </c>
      <c r="K34" s="3" t="s">
        <v>27</v>
      </c>
      <c r="L34" s="3" t="s">
        <v>538</v>
      </c>
      <c r="M34" s="3" t="s">
        <v>473</v>
      </c>
      <c r="N34" s="3" t="s">
        <v>522</v>
      </c>
      <c r="O34" s="3" t="s">
        <v>539</v>
      </c>
      <c r="P34">
        <v>0</v>
      </c>
      <c r="Q34" s="3" t="s">
        <v>288</v>
      </c>
      <c r="R34" s="3" t="s">
        <v>288</v>
      </c>
      <c r="S34" s="3" t="s">
        <v>288</v>
      </c>
      <c r="T34" s="3" t="s">
        <v>451</v>
      </c>
      <c r="U34">
        <v>291</v>
      </c>
      <c r="V34" s="3" t="s">
        <v>136</v>
      </c>
      <c r="W34" s="3" t="s">
        <v>26</v>
      </c>
      <c r="X34" s="3" t="s">
        <v>38</v>
      </c>
      <c r="Y34" s="3" t="s">
        <v>110</v>
      </c>
      <c r="Z34" s="3" t="s">
        <v>41</v>
      </c>
      <c r="AA34" s="3" t="s">
        <v>425</v>
      </c>
      <c r="AB34" s="3" t="s">
        <v>308</v>
      </c>
      <c r="AC34" s="3" t="s">
        <v>459</v>
      </c>
      <c r="AD34" s="3" t="s">
        <v>426</v>
      </c>
      <c r="AE34" s="3" t="s">
        <v>414</v>
      </c>
      <c r="AF34" s="3" t="s">
        <v>288</v>
      </c>
      <c r="AG34" s="11">
        <v>45940.585416666669</v>
      </c>
      <c r="AH34" s="11">
        <v>45941.007638888892</v>
      </c>
      <c r="AI34" s="10"/>
      <c r="AJ34">
        <v>2</v>
      </c>
      <c r="AK34" s="3" t="s">
        <v>436</v>
      </c>
      <c r="AL34" s="3" t="s">
        <v>454</v>
      </c>
    </row>
    <row r="35" spans="1:38" x14ac:dyDescent="0.25">
      <c r="A35" s="3" t="s">
        <v>137</v>
      </c>
      <c r="B35" s="3" t="s">
        <v>438</v>
      </c>
      <c r="C35" s="3" t="s">
        <v>138</v>
      </c>
      <c r="D35" s="3" t="s">
        <v>540</v>
      </c>
      <c r="E35" s="3" t="s">
        <v>113</v>
      </c>
      <c r="F35" s="3" t="s">
        <v>15</v>
      </c>
      <c r="G35" s="3" t="s">
        <v>288</v>
      </c>
      <c r="H35" s="11">
        <v>45940.644444444442</v>
      </c>
      <c r="I35" s="11">
        <v>45942.644444444442</v>
      </c>
      <c r="J35" s="11"/>
      <c r="K35" s="3" t="s">
        <v>54</v>
      </c>
      <c r="L35" s="3" t="s">
        <v>541</v>
      </c>
      <c r="M35" s="3" t="s">
        <v>288</v>
      </c>
      <c r="N35" s="3" t="s">
        <v>431</v>
      </c>
      <c r="O35" s="3" t="s">
        <v>443</v>
      </c>
      <c r="P35">
        <v>0</v>
      </c>
      <c r="Q35" s="3" t="s">
        <v>288</v>
      </c>
      <c r="R35" s="3" t="s">
        <v>433</v>
      </c>
      <c r="S35" s="3" t="s">
        <v>288</v>
      </c>
      <c r="T35" s="3" t="s">
        <v>288</v>
      </c>
      <c r="V35" s="3" t="s">
        <v>139</v>
      </c>
      <c r="W35" s="3" t="s">
        <v>17</v>
      </c>
      <c r="X35" s="3" t="s">
        <v>121</v>
      </c>
      <c r="Y35" s="3" t="s">
        <v>55</v>
      </c>
      <c r="Z35" s="3" t="s">
        <v>21</v>
      </c>
      <c r="AA35" s="3" t="s">
        <v>425</v>
      </c>
      <c r="AB35" s="3" t="s">
        <v>288</v>
      </c>
      <c r="AC35" s="3" t="s">
        <v>288</v>
      </c>
      <c r="AD35" s="3" t="s">
        <v>460</v>
      </c>
      <c r="AE35" s="3" t="s">
        <v>427</v>
      </c>
      <c r="AF35" s="3" t="s">
        <v>288</v>
      </c>
      <c r="AG35" s="11">
        <v>45940.644444444442</v>
      </c>
      <c r="AH35" s="11"/>
      <c r="AI35" s="10">
        <v>45941</v>
      </c>
      <c r="AJ35">
        <v>2</v>
      </c>
      <c r="AK35" s="3" t="s">
        <v>415</v>
      </c>
      <c r="AL35" s="3" t="s">
        <v>437</v>
      </c>
    </row>
    <row r="36" spans="1:38" x14ac:dyDescent="0.25">
      <c r="A36" s="3" t="s">
        <v>140</v>
      </c>
      <c r="B36" s="3" t="s">
        <v>446</v>
      </c>
      <c r="C36" s="3" t="s">
        <v>141</v>
      </c>
      <c r="D36" s="3" t="s">
        <v>542</v>
      </c>
      <c r="E36" s="3" t="s">
        <v>14</v>
      </c>
      <c r="F36" s="3" t="s">
        <v>24</v>
      </c>
      <c r="G36" s="3" t="s">
        <v>406</v>
      </c>
      <c r="H36" s="11">
        <v>45941.512499999997</v>
      </c>
      <c r="I36" s="11">
        <v>45942.927083333336</v>
      </c>
      <c r="J36" s="11">
        <v>45942.927083333336</v>
      </c>
      <c r="K36" s="3" t="s">
        <v>72</v>
      </c>
      <c r="L36" s="3" t="s">
        <v>543</v>
      </c>
      <c r="M36" s="3" t="s">
        <v>492</v>
      </c>
      <c r="N36" s="3" t="s">
        <v>544</v>
      </c>
      <c r="O36" s="3" t="s">
        <v>506</v>
      </c>
      <c r="P36">
        <v>2</v>
      </c>
      <c r="Q36" s="3" t="s">
        <v>422</v>
      </c>
      <c r="R36" s="3" t="s">
        <v>288</v>
      </c>
      <c r="S36" s="3" t="s">
        <v>288</v>
      </c>
      <c r="T36" s="3" t="s">
        <v>451</v>
      </c>
      <c r="U36">
        <v>147</v>
      </c>
      <c r="V36" s="3" t="s">
        <v>101</v>
      </c>
      <c r="W36" s="3" t="s">
        <v>17</v>
      </c>
      <c r="X36" s="3" t="s">
        <v>53</v>
      </c>
      <c r="Y36" s="3" t="s">
        <v>67</v>
      </c>
      <c r="Z36" s="3" t="s">
        <v>29</v>
      </c>
      <c r="AA36" s="3" t="s">
        <v>425</v>
      </c>
      <c r="AB36" s="3" t="s">
        <v>309</v>
      </c>
      <c r="AC36" s="3" t="s">
        <v>459</v>
      </c>
      <c r="AD36" s="3" t="s">
        <v>434</v>
      </c>
      <c r="AE36" s="3" t="s">
        <v>445</v>
      </c>
      <c r="AF36" s="3" t="s">
        <v>545</v>
      </c>
      <c r="AG36" s="11">
        <v>45941.512499999997</v>
      </c>
      <c r="AH36" s="11">
        <v>45942.927083333336</v>
      </c>
      <c r="AI36" s="10"/>
      <c r="AJ36">
        <v>2</v>
      </c>
      <c r="AK36" s="3" t="s">
        <v>436</v>
      </c>
      <c r="AL36" s="3" t="s">
        <v>416</v>
      </c>
    </row>
    <row r="37" spans="1:38" x14ac:dyDescent="0.25">
      <c r="A37" s="3" t="s">
        <v>142</v>
      </c>
      <c r="B37" s="3" t="s">
        <v>446</v>
      </c>
      <c r="C37" s="3" t="s">
        <v>143</v>
      </c>
      <c r="D37" s="3" t="s">
        <v>546</v>
      </c>
      <c r="E37" s="3" t="s">
        <v>14</v>
      </c>
      <c r="F37" s="3" t="s">
        <v>24</v>
      </c>
      <c r="G37" s="3" t="s">
        <v>406</v>
      </c>
      <c r="H37" s="11">
        <v>45941.714583333334</v>
      </c>
      <c r="I37" s="11">
        <v>45943.645138888889</v>
      </c>
      <c r="J37" s="11">
        <v>45943.645138888889</v>
      </c>
      <c r="K37" s="3" t="s">
        <v>39</v>
      </c>
      <c r="L37" s="3" t="s">
        <v>441</v>
      </c>
      <c r="M37" s="3" t="s">
        <v>418</v>
      </c>
      <c r="N37" s="3" t="s">
        <v>467</v>
      </c>
      <c r="O37" s="3" t="s">
        <v>506</v>
      </c>
      <c r="P37">
        <v>3</v>
      </c>
      <c r="Q37" s="3" t="s">
        <v>410</v>
      </c>
      <c r="R37" s="3" t="s">
        <v>433</v>
      </c>
      <c r="S37" s="3" t="s">
        <v>288</v>
      </c>
      <c r="T37" s="3" t="s">
        <v>480</v>
      </c>
      <c r="U37">
        <v>146</v>
      </c>
      <c r="V37" s="3" t="s">
        <v>109</v>
      </c>
      <c r="W37" s="3" t="s">
        <v>17</v>
      </c>
      <c r="X37" s="3" t="s">
        <v>71</v>
      </c>
      <c r="Y37" s="3" t="s">
        <v>28</v>
      </c>
      <c r="Z37" s="3" t="s">
        <v>29</v>
      </c>
      <c r="AA37" s="3" t="s">
        <v>458</v>
      </c>
      <c r="AB37" s="3" t="s">
        <v>310</v>
      </c>
      <c r="AC37" s="3" t="s">
        <v>547</v>
      </c>
      <c r="AD37" s="3" t="s">
        <v>482</v>
      </c>
      <c r="AE37" s="3" t="s">
        <v>524</v>
      </c>
      <c r="AF37" s="3" t="s">
        <v>288</v>
      </c>
      <c r="AG37" s="11">
        <v>45941.714583333334</v>
      </c>
      <c r="AH37" s="11">
        <v>45943.645138888889</v>
      </c>
      <c r="AI37" s="10"/>
      <c r="AJ37">
        <v>3</v>
      </c>
      <c r="AK37" s="3" t="s">
        <v>436</v>
      </c>
      <c r="AL37" s="3" t="s">
        <v>416</v>
      </c>
    </row>
    <row r="38" spans="1:38" x14ac:dyDescent="0.25">
      <c r="A38" s="3" t="s">
        <v>144</v>
      </c>
      <c r="B38" s="3" t="s">
        <v>438</v>
      </c>
      <c r="C38" s="3" t="s">
        <v>145</v>
      </c>
      <c r="D38" s="3" t="s">
        <v>548</v>
      </c>
      <c r="E38" s="3" t="s">
        <v>14</v>
      </c>
      <c r="F38" s="3" t="s">
        <v>24</v>
      </c>
      <c r="G38" s="3" t="s">
        <v>406</v>
      </c>
      <c r="H38" s="11">
        <v>45941.770833333336</v>
      </c>
      <c r="I38" s="11">
        <v>45942.65347222222</v>
      </c>
      <c r="J38" s="11">
        <v>45942.65347222222</v>
      </c>
      <c r="K38" s="3" t="s">
        <v>19</v>
      </c>
      <c r="L38" s="3" t="s">
        <v>448</v>
      </c>
      <c r="M38" s="3" t="s">
        <v>498</v>
      </c>
      <c r="N38" s="3" t="s">
        <v>442</v>
      </c>
      <c r="O38" s="3" t="s">
        <v>539</v>
      </c>
      <c r="P38">
        <v>3</v>
      </c>
      <c r="Q38" s="3" t="s">
        <v>410</v>
      </c>
      <c r="R38" s="3" t="s">
        <v>423</v>
      </c>
      <c r="S38" s="3" t="s">
        <v>288</v>
      </c>
      <c r="T38" s="3" t="s">
        <v>424</v>
      </c>
      <c r="U38">
        <v>121</v>
      </c>
      <c r="V38" s="3" t="s">
        <v>146</v>
      </c>
      <c r="W38" s="3" t="s">
        <v>17</v>
      </c>
      <c r="X38" s="3" t="s">
        <v>124</v>
      </c>
      <c r="Y38" s="3" t="s">
        <v>28</v>
      </c>
      <c r="Z38" s="3" t="s">
        <v>47</v>
      </c>
      <c r="AA38" s="3" t="s">
        <v>412</v>
      </c>
      <c r="AB38" s="3" t="s">
        <v>311</v>
      </c>
      <c r="AC38" s="3" t="s">
        <v>288</v>
      </c>
      <c r="AD38" s="3" t="s">
        <v>434</v>
      </c>
      <c r="AE38" s="3" t="s">
        <v>453</v>
      </c>
      <c r="AF38" s="3" t="s">
        <v>288</v>
      </c>
      <c r="AG38" s="11">
        <v>45941.770833333336</v>
      </c>
      <c r="AH38" s="11">
        <v>45942.65347222222</v>
      </c>
      <c r="AI38" s="10">
        <v>45944</v>
      </c>
      <c r="AJ38">
        <v>2</v>
      </c>
      <c r="AK38" s="3" t="s">
        <v>415</v>
      </c>
      <c r="AL38" s="3" t="s">
        <v>454</v>
      </c>
    </row>
    <row r="39" spans="1:38" x14ac:dyDescent="0.25">
      <c r="A39" s="3" t="s">
        <v>147</v>
      </c>
      <c r="B39" s="3" t="s">
        <v>438</v>
      </c>
      <c r="C39" s="3" t="s">
        <v>148</v>
      </c>
      <c r="D39" s="3" t="s">
        <v>549</v>
      </c>
      <c r="E39" s="3" t="s">
        <v>14</v>
      </c>
      <c r="F39" s="3" t="s">
        <v>24</v>
      </c>
      <c r="G39" s="3" t="s">
        <v>406</v>
      </c>
      <c r="H39" s="11">
        <v>45942.381249999999</v>
      </c>
      <c r="I39" s="11">
        <v>45943.975694444445</v>
      </c>
      <c r="J39" s="11">
        <v>45943.975694444445</v>
      </c>
      <c r="K39" s="3" t="s">
        <v>19</v>
      </c>
      <c r="L39" s="3" t="s">
        <v>488</v>
      </c>
      <c r="M39" s="3" t="s">
        <v>496</v>
      </c>
      <c r="N39" s="3" t="s">
        <v>442</v>
      </c>
      <c r="O39" s="3" t="s">
        <v>288</v>
      </c>
      <c r="P39">
        <v>3</v>
      </c>
      <c r="Q39" s="3" t="s">
        <v>410</v>
      </c>
      <c r="R39" s="3" t="s">
        <v>480</v>
      </c>
      <c r="S39" s="3" t="s">
        <v>288</v>
      </c>
      <c r="T39" s="3" t="s">
        <v>423</v>
      </c>
      <c r="U39">
        <v>299</v>
      </c>
      <c r="V39" s="3" t="s">
        <v>64</v>
      </c>
      <c r="W39" s="3" t="s">
        <v>26</v>
      </c>
      <c r="X39" s="3" t="s">
        <v>124</v>
      </c>
      <c r="Y39" s="3" t="s">
        <v>110</v>
      </c>
      <c r="Z39" s="3" t="s">
        <v>41</v>
      </c>
      <c r="AA39" s="3" t="s">
        <v>412</v>
      </c>
      <c r="AB39" s="3" t="s">
        <v>312</v>
      </c>
      <c r="AC39" s="3" t="s">
        <v>481</v>
      </c>
      <c r="AD39" s="3" t="s">
        <v>482</v>
      </c>
      <c r="AE39" s="3" t="s">
        <v>490</v>
      </c>
      <c r="AF39" s="3" t="s">
        <v>288</v>
      </c>
      <c r="AG39" s="11">
        <v>45942.381249999999</v>
      </c>
      <c r="AH39" s="11">
        <v>45943.975694444445</v>
      </c>
      <c r="AI39" s="10"/>
      <c r="AJ39">
        <v>0</v>
      </c>
      <c r="AK39" s="3" t="s">
        <v>428</v>
      </c>
      <c r="AL39" s="3" t="s">
        <v>454</v>
      </c>
    </row>
    <row r="40" spans="1:38" x14ac:dyDescent="0.25">
      <c r="A40" s="3" t="s">
        <v>149</v>
      </c>
      <c r="B40" s="3" t="s">
        <v>438</v>
      </c>
      <c r="C40" s="3" t="s">
        <v>150</v>
      </c>
      <c r="D40" s="3" t="s">
        <v>550</v>
      </c>
      <c r="E40" s="3" t="s">
        <v>14</v>
      </c>
      <c r="F40" s="3" t="s">
        <v>24</v>
      </c>
      <c r="G40" s="3" t="s">
        <v>406</v>
      </c>
      <c r="H40" s="11">
        <v>45942.409722222219</v>
      </c>
      <c r="I40" s="11">
        <v>45943.836111111108</v>
      </c>
      <c r="J40" s="11">
        <v>45943.836111111108</v>
      </c>
      <c r="K40" s="3" t="s">
        <v>19</v>
      </c>
      <c r="L40" s="3" t="s">
        <v>430</v>
      </c>
      <c r="M40" s="3" t="s">
        <v>521</v>
      </c>
      <c r="N40" s="3" t="s">
        <v>511</v>
      </c>
      <c r="O40" s="3" t="s">
        <v>421</v>
      </c>
      <c r="P40">
        <v>3</v>
      </c>
      <c r="Q40" s="3" t="s">
        <v>288</v>
      </c>
      <c r="R40" s="3" t="s">
        <v>288</v>
      </c>
      <c r="S40" s="3" t="s">
        <v>288</v>
      </c>
      <c r="T40" s="3" t="s">
        <v>411</v>
      </c>
      <c r="U40">
        <v>470</v>
      </c>
      <c r="V40" s="3" t="s">
        <v>136</v>
      </c>
      <c r="W40" s="3" t="s">
        <v>26</v>
      </c>
      <c r="X40" s="3" t="s">
        <v>38</v>
      </c>
      <c r="Y40" s="3" t="s">
        <v>55</v>
      </c>
      <c r="Z40" s="3" t="s">
        <v>47</v>
      </c>
      <c r="AA40" s="3" t="s">
        <v>412</v>
      </c>
      <c r="AB40" s="3" t="s">
        <v>295</v>
      </c>
      <c r="AC40" s="3" t="s">
        <v>523</v>
      </c>
      <c r="AD40" s="3" t="s">
        <v>482</v>
      </c>
      <c r="AE40" s="3" t="s">
        <v>470</v>
      </c>
      <c r="AF40" s="3" t="s">
        <v>288</v>
      </c>
      <c r="AG40" s="11">
        <v>45942.409722222219</v>
      </c>
      <c r="AH40" s="11">
        <v>45943.836111111108</v>
      </c>
      <c r="AI40" s="10"/>
      <c r="AJ40">
        <v>1</v>
      </c>
      <c r="AK40" s="3" t="s">
        <v>436</v>
      </c>
      <c r="AL40" s="3" t="s">
        <v>416</v>
      </c>
    </row>
    <row r="41" spans="1:38" x14ac:dyDescent="0.25">
      <c r="A41" s="3" t="s">
        <v>151</v>
      </c>
      <c r="B41" s="3" t="s">
        <v>438</v>
      </c>
      <c r="C41" s="3" t="s">
        <v>152</v>
      </c>
      <c r="D41" s="3" t="s">
        <v>551</v>
      </c>
      <c r="E41" s="3" t="s">
        <v>14</v>
      </c>
      <c r="F41" s="3" t="s">
        <v>24</v>
      </c>
      <c r="G41" s="3" t="s">
        <v>406</v>
      </c>
      <c r="H41" s="11">
        <v>45942.603472222225</v>
      </c>
      <c r="I41" s="11">
        <v>45944.488194444442</v>
      </c>
      <c r="J41" s="11">
        <v>45944.488194444442</v>
      </c>
      <c r="K41" s="3" t="s">
        <v>19</v>
      </c>
      <c r="L41" s="3" t="s">
        <v>472</v>
      </c>
      <c r="M41" s="3" t="s">
        <v>519</v>
      </c>
      <c r="N41" s="3" t="s">
        <v>552</v>
      </c>
      <c r="O41" s="3" t="s">
        <v>500</v>
      </c>
      <c r="P41">
        <v>0</v>
      </c>
      <c r="Q41" s="3" t="s">
        <v>288</v>
      </c>
      <c r="R41" s="3" t="s">
        <v>424</v>
      </c>
      <c r="S41" s="3" t="s">
        <v>288</v>
      </c>
      <c r="T41" s="3" t="s">
        <v>480</v>
      </c>
      <c r="U41">
        <v>206</v>
      </c>
      <c r="V41" s="3" t="s">
        <v>139</v>
      </c>
      <c r="W41" s="3" t="s">
        <v>17</v>
      </c>
      <c r="X41" s="3" t="s">
        <v>33</v>
      </c>
      <c r="Y41" s="3" t="s">
        <v>55</v>
      </c>
      <c r="Z41" s="3" t="s">
        <v>21</v>
      </c>
      <c r="AA41" s="3" t="s">
        <v>458</v>
      </c>
      <c r="AB41" s="3" t="s">
        <v>313</v>
      </c>
      <c r="AC41" s="3" t="s">
        <v>527</v>
      </c>
      <c r="AD41" s="3" t="s">
        <v>426</v>
      </c>
      <c r="AE41" s="3" t="s">
        <v>435</v>
      </c>
      <c r="AF41" s="3" t="s">
        <v>288</v>
      </c>
      <c r="AG41" s="11">
        <v>45942.603472222225</v>
      </c>
      <c r="AH41" s="11">
        <v>45944.488194444442</v>
      </c>
      <c r="AI41" s="10">
        <v>45948</v>
      </c>
      <c r="AJ41">
        <v>2</v>
      </c>
      <c r="AK41" s="3" t="s">
        <v>436</v>
      </c>
      <c r="AL41" s="3" t="s">
        <v>416</v>
      </c>
    </row>
    <row r="42" spans="1:38" x14ac:dyDescent="0.25">
      <c r="A42" s="3" t="s">
        <v>153</v>
      </c>
      <c r="B42" s="3" t="s">
        <v>404</v>
      </c>
      <c r="C42" s="3" t="s">
        <v>154</v>
      </c>
      <c r="D42" s="3" t="s">
        <v>553</v>
      </c>
      <c r="E42" s="3" t="s">
        <v>14</v>
      </c>
      <c r="F42" s="3" t="s">
        <v>24</v>
      </c>
      <c r="G42" s="3" t="s">
        <v>406</v>
      </c>
      <c r="H42" s="11">
        <v>45942.741666666669</v>
      </c>
      <c r="I42" s="11">
        <v>45943.98333333333</v>
      </c>
      <c r="J42" s="11">
        <v>45943.98333333333</v>
      </c>
      <c r="K42" s="3" t="s">
        <v>39</v>
      </c>
      <c r="L42" s="3" t="s">
        <v>448</v>
      </c>
      <c r="M42" s="3" t="s">
        <v>538</v>
      </c>
      <c r="N42" s="3" t="s">
        <v>463</v>
      </c>
      <c r="O42" s="3" t="s">
        <v>506</v>
      </c>
      <c r="P42">
        <v>1</v>
      </c>
      <c r="Q42" s="3" t="s">
        <v>410</v>
      </c>
      <c r="R42" s="3" t="s">
        <v>288</v>
      </c>
      <c r="S42" s="3" t="s">
        <v>288</v>
      </c>
      <c r="T42" s="3" t="s">
        <v>433</v>
      </c>
      <c r="U42">
        <v>197</v>
      </c>
      <c r="V42" s="3" t="s">
        <v>146</v>
      </c>
      <c r="W42" s="3" t="s">
        <v>17</v>
      </c>
      <c r="X42" s="3" t="s">
        <v>18</v>
      </c>
      <c r="Y42" s="3" t="s">
        <v>73</v>
      </c>
      <c r="Z42" s="3" t="s">
        <v>21</v>
      </c>
      <c r="AA42" s="3" t="s">
        <v>412</v>
      </c>
      <c r="AB42" s="3" t="s">
        <v>314</v>
      </c>
      <c r="AC42" s="3" t="s">
        <v>288</v>
      </c>
      <c r="AD42" s="3" t="s">
        <v>434</v>
      </c>
      <c r="AE42" s="3" t="s">
        <v>453</v>
      </c>
      <c r="AF42" s="3" t="s">
        <v>554</v>
      </c>
      <c r="AG42" s="11">
        <v>45942.741666666669</v>
      </c>
      <c r="AH42" s="11">
        <v>45943.98333333333</v>
      </c>
      <c r="AI42" s="10">
        <v>45949</v>
      </c>
      <c r="AJ42">
        <v>3</v>
      </c>
      <c r="AK42" s="3" t="s">
        <v>415</v>
      </c>
      <c r="AL42" s="3" t="s">
        <v>437</v>
      </c>
    </row>
    <row r="43" spans="1:38" x14ac:dyDescent="0.25">
      <c r="A43" s="3" t="s">
        <v>155</v>
      </c>
      <c r="B43" s="3" t="s">
        <v>446</v>
      </c>
      <c r="C43" s="3" t="s">
        <v>156</v>
      </c>
      <c r="D43" s="3" t="s">
        <v>555</v>
      </c>
      <c r="E43" s="3" t="s">
        <v>58</v>
      </c>
      <c r="F43" s="3" t="s">
        <v>24</v>
      </c>
      <c r="G43" s="3" t="s">
        <v>288</v>
      </c>
      <c r="H43" s="11">
        <v>45943.447916666664</v>
      </c>
      <c r="I43" s="11">
        <v>45945.697916666664</v>
      </c>
      <c r="J43" s="11"/>
      <c r="K43" s="3" t="s">
        <v>27</v>
      </c>
      <c r="L43" s="3" t="s">
        <v>478</v>
      </c>
      <c r="M43" s="3" t="s">
        <v>288</v>
      </c>
      <c r="N43" s="3" t="s">
        <v>442</v>
      </c>
      <c r="O43" s="3" t="s">
        <v>288</v>
      </c>
      <c r="P43">
        <v>3</v>
      </c>
      <c r="Q43" s="3" t="s">
        <v>422</v>
      </c>
      <c r="R43" s="3" t="s">
        <v>288</v>
      </c>
      <c r="S43" s="3" t="s">
        <v>288</v>
      </c>
      <c r="T43" s="3" t="s">
        <v>288</v>
      </c>
      <c r="V43" s="3" t="s">
        <v>109</v>
      </c>
      <c r="W43" s="3" t="s">
        <v>17</v>
      </c>
      <c r="X43" s="3" t="s">
        <v>33</v>
      </c>
      <c r="Y43" s="3" t="s">
        <v>102</v>
      </c>
      <c r="Z43" s="3" t="s">
        <v>29</v>
      </c>
      <c r="AA43" s="3" t="s">
        <v>476</v>
      </c>
      <c r="AB43" s="3" t="s">
        <v>288</v>
      </c>
      <c r="AC43" s="3" t="s">
        <v>459</v>
      </c>
      <c r="AD43" s="3" t="s">
        <v>444</v>
      </c>
      <c r="AE43" s="3" t="s">
        <v>490</v>
      </c>
      <c r="AF43" s="3" t="s">
        <v>288</v>
      </c>
      <c r="AG43" s="11">
        <v>45943.447916666664</v>
      </c>
      <c r="AH43" s="11"/>
      <c r="AI43" s="10"/>
      <c r="AJ43">
        <v>3</v>
      </c>
      <c r="AK43" s="3" t="s">
        <v>415</v>
      </c>
      <c r="AL43" s="3" t="s">
        <v>454</v>
      </c>
    </row>
    <row r="44" spans="1:38" x14ac:dyDescent="0.25">
      <c r="A44" s="3" t="s">
        <v>157</v>
      </c>
      <c r="B44" s="3" t="s">
        <v>446</v>
      </c>
      <c r="C44" s="3" t="s">
        <v>158</v>
      </c>
      <c r="D44" s="3" t="s">
        <v>556</v>
      </c>
      <c r="E44" s="3" t="s">
        <v>14</v>
      </c>
      <c r="F44" s="3" t="s">
        <v>24</v>
      </c>
      <c r="G44" s="3" t="s">
        <v>406</v>
      </c>
      <c r="H44" s="11">
        <v>45943.550694444442</v>
      </c>
      <c r="I44" s="11">
        <v>45944.500694444447</v>
      </c>
      <c r="J44" s="11">
        <v>45944.500694444447</v>
      </c>
      <c r="K44" s="3" t="s">
        <v>34</v>
      </c>
      <c r="L44" s="3" t="s">
        <v>557</v>
      </c>
      <c r="M44" s="3" t="s">
        <v>492</v>
      </c>
      <c r="N44" s="3" t="s">
        <v>463</v>
      </c>
      <c r="O44" s="3" t="s">
        <v>288</v>
      </c>
      <c r="P44">
        <v>0</v>
      </c>
      <c r="Q44" s="3" t="s">
        <v>288</v>
      </c>
      <c r="R44" s="3" t="s">
        <v>480</v>
      </c>
      <c r="S44" s="3" t="s">
        <v>288</v>
      </c>
      <c r="T44" s="3" t="s">
        <v>411</v>
      </c>
      <c r="U44">
        <v>113</v>
      </c>
      <c r="V44" s="3" t="s">
        <v>50</v>
      </c>
      <c r="W44" s="3" t="s">
        <v>17</v>
      </c>
      <c r="X44" s="3" t="s">
        <v>121</v>
      </c>
      <c r="Y44" s="3" t="s">
        <v>110</v>
      </c>
      <c r="Z44" s="3" t="s">
        <v>47</v>
      </c>
      <c r="AA44" s="3" t="s">
        <v>458</v>
      </c>
      <c r="AB44" s="3" t="s">
        <v>315</v>
      </c>
      <c r="AC44" s="3" t="s">
        <v>288</v>
      </c>
      <c r="AD44" s="3" t="s">
        <v>413</v>
      </c>
      <c r="AE44" s="3" t="s">
        <v>494</v>
      </c>
      <c r="AF44" s="3" t="s">
        <v>288</v>
      </c>
      <c r="AG44" s="11">
        <v>45943.550694444442</v>
      </c>
      <c r="AH44" s="11">
        <v>45944.500694444447</v>
      </c>
      <c r="AI44" s="10">
        <v>45945</v>
      </c>
      <c r="AJ44">
        <v>0</v>
      </c>
      <c r="AK44" s="3" t="s">
        <v>428</v>
      </c>
      <c r="AL44" s="3" t="s">
        <v>437</v>
      </c>
    </row>
    <row r="45" spans="1:38" x14ac:dyDescent="0.25">
      <c r="A45" s="3" t="s">
        <v>159</v>
      </c>
      <c r="B45" s="3" t="s">
        <v>438</v>
      </c>
      <c r="C45" s="3" t="s">
        <v>160</v>
      </c>
      <c r="D45" s="3" t="s">
        <v>558</v>
      </c>
      <c r="E45" s="3" t="s">
        <v>14</v>
      </c>
      <c r="F45" s="3" t="s">
        <v>24</v>
      </c>
      <c r="G45" s="3" t="s">
        <v>406</v>
      </c>
      <c r="H45" s="11">
        <v>45943.61041666667</v>
      </c>
      <c r="I45" s="11">
        <v>45944.433333333334</v>
      </c>
      <c r="J45" s="11">
        <v>45944.433333333334</v>
      </c>
      <c r="K45" s="3" t="s">
        <v>39</v>
      </c>
      <c r="L45" s="3" t="s">
        <v>526</v>
      </c>
      <c r="M45" s="3" t="s">
        <v>559</v>
      </c>
      <c r="N45" s="3" t="s">
        <v>504</v>
      </c>
      <c r="O45" s="3" t="s">
        <v>539</v>
      </c>
      <c r="P45">
        <v>1</v>
      </c>
      <c r="Q45" s="3" t="s">
        <v>422</v>
      </c>
      <c r="R45" s="3" t="s">
        <v>288</v>
      </c>
      <c r="S45" s="3" t="s">
        <v>288</v>
      </c>
      <c r="T45" s="3" t="s">
        <v>451</v>
      </c>
      <c r="U45">
        <v>135</v>
      </c>
      <c r="V45" s="3" t="s">
        <v>98</v>
      </c>
      <c r="W45" s="3" t="s">
        <v>26</v>
      </c>
      <c r="X45" s="3" t="s">
        <v>38</v>
      </c>
      <c r="Y45" s="3" t="s">
        <v>67</v>
      </c>
      <c r="Z45" s="3" t="s">
        <v>41</v>
      </c>
      <c r="AA45" s="3" t="s">
        <v>425</v>
      </c>
      <c r="AB45" s="3" t="s">
        <v>316</v>
      </c>
      <c r="AC45" s="3" t="s">
        <v>459</v>
      </c>
      <c r="AD45" s="3" t="s">
        <v>482</v>
      </c>
      <c r="AE45" s="3" t="s">
        <v>453</v>
      </c>
      <c r="AF45" s="3" t="s">
        <v>560</v>
      </c>
      <c r="AG45" s="11">
        <v>45943.61041666667</v>
      </c>
      <c r="AH45" s="11">
        <v>45944.433333333334</v>
      </c>
      <c r="AI45" s="10"/>
      <c r="AJ45">
        <v>1</v>
      </c>
      <c r="AK45" s="3" t="s">
        <v>436</v>
      </c>
      <c r="AL45" s="3" t="s">
        <v>437</v>
      </c>
    </row>
    <row r="46" spans="1:38" x14ac:dyDescent="0.25">
      <c r="A46" s="3" t="s">
        <v>161</v>
      </c>
      <c r="B46" s="3" t="s">
        <v>446</v>
      </c>
      <c r="C46" s="3" t="s">
        <v>162</v>
      </c>
      <c r="D46" s="3" t="s">
        <v>561</v>
      </c>
      <c r="E46" s="3" t="s">
        <v>113</v>
      </c>
      <c r="F46" s="3" t="s">
        <v>24</v>
      </c>
      <c r="G46" s="3" t="s">
        <v>288</v>
      </c>
      <c r="H46" s="11">
        <v>45943.682638888888</v>
      </c>
      <c r="I46" s="11">
        <v>45945.807638888888</v>
      </c>
      <c r="J46" s="11"/>
      <c r="K46" s="3" t="s">
        <v>72</v>
      </c>
      <c r="L46" s="3" t="s">
        <v>502</v>
      </c>
      <c r="M46" s="3" t="s">
        <v>288</v>
      </c>
      <c r="N46" s="3" t="s">
        <v>442</v>
      </c>
      <c r="O46" s="3" t="s">
        <v>500</v>
      </c>
      <c r="P46">
        <v>3</v>
      </c>
      <c r="Q46" s="3" t="s">
        <v>288</v>
      </c>
      <c r="R46" s="3" t="s">
        <v>288</v>
      </c>
      <c r="S46" s="3" t="s">
        <v>288</v>
      </c>
      <c r="T46" s="3" t="s">
        <v>288</v>
      </c>
      <c r="V46" s="3" t="s">
        <v>70</v>
      </c>
      <c r="W46" s="3" t="s">
        <v>17</v>
      </c>
      <c r="X46" s="3" t="s">
        <v>18</v>
      </c>
      <c r="Y46" s="3" t="s">
        <v>55</v>
      </c>
      <c r="Z46" s="3" t="s">
        <v>21</v>
      </c>
      <c r="AA46" s="3" t="s">
        <v>458</v>
      </c>
      <c r="AB46" s="3" t="s">
        <v>288</v>
      </c>
      <c r="AC46" s="3" t="s">
        <v>288</v>
      </c>
      <c r="AD46" s="3" t="s">
        <v>413</v>
      </c>
      <c r="AE46" s="3" t="s">
        <v>470</v>
      </c>
      <c r="AF46" s="3" t="s">
        <v>288</v>
      </c>
      <c r="AG46" s="11">
        <v>45943.682638888888</v>
      </c>
      <c r="AH46" s="11"/>
      <c r="AI46" s="10">
        <v>45947</v>
      </c>
      <c r="AJ46">
        <v>0</v>
      </c>
      <c r="AK46" s="3" t="s">
        <v>436</v>
      </c>
      <c r="AL46" s="3" t="s">
        <v>416</v>
      </c>
    </row>
    <row r="47" spans="1:38" x14ac:dyDescent="0.25">
      <c r="A47" s="3" t="s">
        <v>163</v>
      </c>
      <c r="B47" s="3" t="s">
        <v>438</v>
      </c>
      <c r="C47" s="3" t="s">
        <v>164</v>
      </c>
      <c r="D47" s="3" t="s">
        <v>562</v>
      </c>
      <c r="E47" s="3" t="s">
        <v>14</v>
      </c>
      <c r="F47" s="3" t="s">
        <v>24</v>
      </c>
      <c r="G47" s="3" t="s">
        <v>406</v>
      </c>
      <c r="H47" s="11">
        <v>45943.692361111112</v>
      </c>
      <c r="I47" s="11">
        <v>45943.936805555553</v>
      </c>
      <c r="J47" s="11">
        <v>45943.936805555553</v>
      </c>
      <c r="K47" s="3" t="s">
        <v>34</v>
      </c>
      <c r="L47" s="3" t="s">
        <v>529</v>
      </c>
      <c r="M47" s="3" t="s">
        <v>489</v>
      </c>
      <c r="N47" s="3" t="s">
        <v>420</v>
      </c>
      <c r="O47" s="3" t="s">
        <v>536</v>
      </c>
      <c r="P47">
        <v>3</v>
      </c>
      <c r="Q47" s="3" t="s">
        <v>422</v>
      </c>
      <c r="R47" s="3" t="s">
        <v>288</v>
      </c>
      <c r="S47" s="3" t="s">
        <v>288</v>
      </c>
      <c r="T47" s="3" t="s">
        <v>411</v>
      </c>
      <c r="U47">
        <v>419</v>
      </c>
      <c r="V47" s="3" t="s">
        <v>76</v>
      </c>
      <c r="W47" s="3" t="s">
        <v>26</v>
      </c>
      <c r="X47" s="3" t="s">
        <v>18</v>
      </c>
      <c r="Y47" s="3" t="s">
        <v>102</v>
      </c>
      <c r="Z47" s="3" t="s">
        <v>41</v>
      </c>
      <c r="AA47" s="3" t="s">
        <v>412</v>
      </c>
      <c r="AB47" s="3" t="s">
        <v>317</v>
      </c>
      <c r="AC47" s="3" t="s">
        <v>563</v>
      </c>
      <c r="AD47" s="3" t="s">
        <v>444</v>
      </c>
      <c r="AE47" s="3" t="s">
        <v>483</v>
      </c>
      <c r="AF47" s="3" t="s">
        <v>288</v>
      </c>
      <c r="AG47" s="11">
        <v>45943.692361111112</v>
      </c>
      <c r="AH47" s="11">
        <v>45943.936805555553</v>
      </c>
      <c r="AI47" s="10"/>
      <c r="AJ47">
        <v>2</v>
      </c>
      <c r="AK47" s="3" t="s">
        <v>436</v>
      </c>
      <c r="AL47" s="3" t="s">
        <v>416</v>
      </c>
    </row>
    <row r="48" spans="1:38" x14ac:dyDescent="0.25">
      <c r="A48" s="3" t="s">
        <v>165</v>
      </c>
      <c r="B48" s="3" t="s">
        <v>438</v>
      </c>
      <c r="C48" s="3" t="s">
        <v>166</v>
      </c>
      <c r="D48" s="3" t="s">
        <v>564</v>
      </c>
      <c r="E48" s="3" t="s">
        <v>14</v>
      </c>
      <c r="F48" s="3" t="s">
        <v>24</v>
      </c>
      <c r="G48" s="3" t="s">
        <v>406</v>
      </c>
      <c r="H48" s="11">
        <v>45943.713194444441</v>
      </c>
      <c r="I48" s="11">
        <v>45944.990277777775</v>
      </c>
      <c r="J48" s="11">
        <v>45944.990277777775</v>
      </c>
      <c r="K48" s="3" t="s">
        <v>34</v>
      </c>
      <c r="L48" s="3" t="s">
        <v>529</v>
      </c>
      <c r="M48" s="3" t="s">
        <v>407</v>
      </c>
      <c r="N48" s="3" t="s">
        <v>479</v>
      </c>
      <c r="O48" s="3" t="s">
        <v>288</v>
      </c>
      <c r="P48">
        <v>1</v>
      </c>
      <c r="Q48" s="3" t="s">
        <v>410</v>
      </c>
      <c r="R48" s="3" t="s">
        <v>480</v>
      </c>
      <c r="S48" s="3" t="s">
        <v>288</v>
      </c>
      <c r="T48" s="3" t="s">
        <v>424</v>
      </c>
      <c r="U48">
        <v>104</v>
      </c>
      <c r="V48" s="3" t="s">
        <v>94</v>
      </c>
      <c r="W48" s="3" t="s">
        <v>17</v>
      </c>
      <c r="X48" s="3" t="s">
        <v>18</v>
      </c>
      <c r="Y48" s="3" t="s">
        <v>40</v>
      </c>
      <c r="Z48" s="3" t="s">
        <v>29</v>
      </c>
      <c r="AA48" s="3" t="s">
        <v>476</v>
      </c>
      <c r="AB48" s="3" t="s">
        <v>318</v>
      </c>
      <c r="AC48" s="3" t="s">
        <v>288</v>
      </c>
      <c r="AD48" s="3" t="s">
        <v>434</v>
      </c>
      <c r="AE48" s="3" t="s">
        <v>470</v>
      </c>
      <c r="AF48" s="3" t="s">
        <v>288</v>
      </c>
      <c r="AG48" s="11">
        <v>45943.713194444441</v>
      </c>
      <c r="AH48" s="11">
        <v>45944.990277777775</v>
      </c>
      <c r="AI48" s="10"/>
      <c r="AJ48">
        <v>3</v>
      </c>
      <c r="AK48" s="3" t="s">
        <v>436</v>
      </c>
      <c r="AL48" s="3" t="s">
        <v>454</v>
      </c>
    </row>
    <row r="49" spans="1:38" x14ac:dyDescent="0.25">
      <c r="A49" s="3" t="s">
        <v>167</v>
      </c>
      <c r="B49" s="3" t="s">
        <v>446</v>
      </c>
      <c r="C49" s="3" t="s">
        <v>168</v>
      </c>
      <c r="D49" s="3" t="s">
        <v>565</v>
      </c>
      <c r="E49" s="3" t="s">
        <v>14</v>
      </c>
      <c r="F49" s="3" t="s">
        <v>24</v>
      </c>
      <c r="G49" s="3" t="s">
        <v>406</v>
      </c>
      <c r="H49" s="11">
        <v>45943.723611111112</v>
      </c>
      <c r="I49" s="11">
        <v>45945.611111111109</v>
      </c>
      <c r="J49" s="11">
        <v>45945.611111111109</v>
      </c>
      <c r="K49" s="3" t="s">
        <v>72</v>
      </c>
      <c r="L49" s="3" t="s">
        <v>492</v>
      </c>
      <c r="M49" s="3" t="s">
        <v>566</v>
      </c>
      <c r="N49" s="3" t="s">
        <v>552</v>
      </c>
      <c r="O49" s="3" t="s">
        <v>421</v>
      </c>
      <c r="P49">
        <v>3</v>
      </c>
      <c r="Q49" s="3" t="s">
        <v>288</v>
      </c>
      <c r="R49" s="3" t="s">
        <v>288</v>
      </c>
      <c r="S49" s="3" t="s">
        <v>288</v>
      </c>
      <c r="T49" s="3" t="s">
        <v>411</v>
      </c>
      <c r="U49">
        <v>287</v>
      </c>
      <c r="V49" s="3" t="s">
        <v>109</v>
      </c>
      <c r="W49" s="3" t="s">
        <v>17</v>
      </c>
      <c r="X49" s="3" t="s">
        <v>18</v>
      </c>
      <c r="Y49" s="3" t="s">
        <v>110</v>
      </c>
      <c r="Z49" s="3" t="s">
        <v>47</v>
      </c>
      <c r="AA49" s="3" t="s">
        <v>476</v>
      </c>
      <c r="AB49" s="3" t="s">
        <v>319</v>
      </c>
      <c r="AC49" s="3" t="s">
        <v>288</v>
      </c>
      <c r="AD49" s="3" t="s">
        <v>434</v>
      </c>
      <c r="AE49" s="3" t="s">
        <v>453</v>
      </c>
      <c r="AF49" s="3" t="s">
        <v>567</v>
      </c>
      <c r="AG49" s="11">
        <v>45943.723611111112</v>
      </c>
      <c r="AH49" s="11">
        <v>45945.611111111109</v>
      </c>
      <c r="AI49" s="10">
        <v>45945</v>
      </c>
      <c r="AJ49">
        <v>1</v>
      </c>
      <c r="AK49" s="3" t="s">
        <v>428</v>
      </c>
      <c r="AL49" s="3" t="s">
        <v>416</v>
      </c>
    </row>
    <row r="50" spans="1:38" x14ac:dyDescent="0.25">
      <c r="A50" s="3" t="s">
        <v>169</v>
      </c>
      <c r="B50" s="3" t="s">
        <v>446</v>
      </c>
      <c r="C50" s="3" t="s">
        <v>170</v>
      </c>
      <c r="D50" s="3" t="s">
        <v>568</v>
      </c>
      <c r="E50" s="3" t="s">
        <v>97</v>
      </c>
      <c r="F50" s="3" t="s">
        <v>24</v>
      </c>
      <c r="G50" s="3" t="s">
        <v>406</v>
      </c>
      <c r="H50" s="11">
        <v>45943.740972222222</v>
      </c>
      <c r="I50" s="11">
        <v>45945.338888888888</v>
      </c>
      <c r="J50" s="11">
        <v>45945.338888888888</v>
      </c>
      <c r="K50" s="3" t="s">
        <v>19</v>
      </c>
      <c r="L50" s="3" t="s">
        <v>538</v>
      </c>
      <c r="M50" s="3" t="s">
        <v>569</v>
      </c>
      <c r="N50" s="3" t="s">
        <v>511</v>
      </c>
      <c r="O50" s="3" t="s">
        <v>288</v>
      </c>
      <c r="P50">
        <v>0</v>
      </c>
      <c r="Q50" s="3" t="s">
        <v>288</v>
      </c>
      <c r="R50" s="3" t="s">
        <v>288</v>
      </c>
      <c r="S50" s="3" t="s">
        <v>288</v>
      </c>
      <c r="T50" s="3" t="s">
        <v>424</v>
      </c>
      <c r="U50">
        <v>314</v>
      </c>
      <c r="V50" s="3" t="s">
        <v>101</v>
      </c>
      <c r="W50" s="3" t="s">
        <v>17</v>
      </c>
      <c r="X50" s="3" t="s">
        <v>124</v>
      </c>
      <c r="Y50" s="3" t="s">
        <v>73</v>
      </c>
      <c r="Z50" s="3" t="s">
        <v>21</v>
      </c>
      <c r="AA50" s="3" t="s">
        <v>458</v>
      </c>
      <c r="AB50" s="3" t="s">
        <v>320</v>
      </c>
      <c r="AC50" s="3" t="s">
        <v>464</v>
      </c>
      <c r="AD50" s="3" t="s">
        <v>482</v>
      </c>
      <c r="AE50" s="3" t="s">
        <v>470</v>
      </c>
      <c r="AF50" s="3" t="s">
        <v>570</v>
      </c>
      <c r="AG50" s="11">
        <v>45943.740972222222</v>
      </c>
      <c r="AH50" s="11">
        <v>45945.338888888888</v>
      </c>
      <c r="AI50" s="10">
        <v>45949</v>
      </c>
      <c r="AJ50">
        <v>1</v>
      </c>
      <c r="AK50" s="3" t="s">
        <v>428</v>
      </c>
      <c r="AL50" s="3" t="s">
        <v>454</v>
      </c>
    </row>
    <row r="51" spans="1:38" x14ac:dyDescent="0.25">
      <c r="A51" s="3" t="s">
        <v>171</v>
      </c>
      <c r="B51" s="3" t="s">
        <v>446</v>
      </c>
      <c r="C51" s="3" t="s">
        <v>172</v>
      </c>
      <c r="D51" s="3" t="s">
        <v>571</v>
      </c>
      <c r="E51" s="3" t="s">
        <v>14</v>
      </c>
      <c r="F51" s="3" t="s">
        <v>24</v>
      </c>
      <c r="G51" s="3" t="s">
        <v>406</v>
      </c>
      <c r="H51" s="11">
        <v>45943.750694444447</v>
      </c>
      <c r="I51" s="11">
        <v>45945.21875</v>
      </c>
      <c r="J51" s="11">
        <v>45945.21875</v>
      </c>
      <c r="K51" s="3" t="s">
        <v>19</v>
      </c>
      <c r="L51" s="3" t="s">
        <v>529</v>
      </c>
      <c r="M51" s="3" t="s">
        <v>440</v>
      </c>
      <c r="N51" s="3" t="s">
        <v>450</v>
      </c>
      <c r="O51" s="3" t="s">
        <v>288</v>
      </c>
      <c r="P51">
        <v>2</v>
      </c>
      <c r="Q51" s="3" t="s">
        <v>288</v>
      </c>
      <c r="R51" s="3" t="s">
        <v>288</v>
      </c>
      <c r="S51" s="3" t="s">
        <v>288</v>
      </c>
      <c r="T51" s="3" t="s">
        <v>451</v>
      </c>
      <c r="U51">
        <v>390</v>
      </c>
      <c r="V51" s="3" t="s">
        <v>64</v>
      </c>
      <c r="W51" s="3" t="s">
        <v>26</v>
      </c>
      <c r="X51" s="3" t="s">
        <v>33</v>
      </c>
      <c r="Y51" s="3" t="s">
        <v>73</v>
      </c>
      <c r="Z51" s="3" t="s">
        <v>41</v>
      </c>
      <c r="AA51" s="3" t="s">
        <v>458</v>
      </c>
      <c r="AB51" s="3" t="s">
        <v>321</v>
      </c>
      <c r="AC51" s="3" t="s">
        <v>485</v>
      </c>
      <c r="AD51" s="3" t="s">
        <v>460</v>
      </c>
      <c r="AE51" s="3" t="s">
        <v>483</v>
      </c>
      <c r="AF51" s="3" t="s">
        <v>288</v>
      </c>
      <c r="AG51" s="11">
        <v>45943.750694444447</v>
      </c>
      <c r="AH51" s="11">
        <v>45945.21875</v>
      </c>
      <c r="AI51" s="10">
        <v>45947</v>
      </c>
      <c r="AJ51">
        <v>2</v>
      </c>
      <c r="AK51" s="3" t="s">
        <v>436</v>
      </c>
      <c r="AL51" s="3" t="s">
        <v>454</v>
      </c>
    </row>
    <row r="52" spans="1:38" x14ac:dyDescent="0.25">
      <c r="A52" s="3" t="s">
        <v>173</v>
      </c>
      <c r="B52" s="3" t="s">
        <v>404</v>
      </c>
      <c r="C52" s="3" t="s">
        <v>174</v>
      </c>
      <c r="D52" s="3" t="s">
        <v>572</v>
      </c>
      <c r="E52" s="3" t="s">
        <v>14</v>
      </c>
      <c r="F52" s="3" t="s">
        <v>24</v>
      </c>
      <c r="G52" s="3" t="s">
        <v>406</v>
      </c>
      <c r="H52" s="11">
        <v>45944.343055555553</v>
      </c>
      <c r="I52" s="11">
        <v>45946.088194444441</v>
      </c>
      <c r="J52" s="11">
        <v>45946.088194444441</v>
      </c>
      <c r="K52" s="3" t="s">
        <v>19</v>
      </c>
      <c r="L52" s="3" t="s">
        <v>498</v>
      </c>
      <c r="M52" s="3" t="s">
        <v>573</v>
      </c>
      <c r="N52" s="3" t="s">
        <v>469</v>
      </c>
      <c r="O52" s="3" t="s">
        <v>288</v>
      </c>
      <c r="P52">
        <v>3</v>
      </c>
      <c r="Q52" s="3" t="s">
        <v>288</v>
      </c>
      <c r="R52" s="3" t="s">
        <v>288</v>
      </c>
      <c r="S52" s="3" t="s">
        <v>288</v>
      </c>
      <c r="T52" s="3" t="s">
        <v>480</v>
      </c>
      <c r="U52">
        <v>322</v>
      </c>
      <c r="V52" s="3" t="s">
        <v>88</v>
      </c>
      <c r="W52" s="3" t="s">
        <v>26</v>
      </c>
      <c r="X52" s="3" t="s">
        <v>45</v>
      </c>
      <c r="Y52" s="3" t="s">
        <v>28</v>
      </c>
      <c r="Z52" s="3" t="s">
        <v>21</v>
      </c>
      <c r="AA52" s="3" t="s">
        <v>476</v>
      </c>
      <c r="AB52" s="3" t="s">
        <v>322</v>
      </c>
      <c r="AC52" s="3" t="s">
        <v>288</v>
      </c>
      <c r="AD52" s="3" t="s">
        <v>460</v>
      </c>
      <c r="AE52" s="3" t="s">
        <v>427</v>
      </c>
      <c r="AF52" s="3" t="s">
        <v>288</v>
      </c>
      <c r="AG52" s="11">
        <v>45944.343055555553</v>
      </c>
      <c r="AH52" s="11">
        <v>45946.088194444441</v>
      </c>
      <c r="AI52" s="10"/>
      <c r="AJ52">
        <v>0</v>
      </c>
      <c r="AK52" s="3" t="s">
        <v>415</v>
      </c>
      <c r="AL52" s="3" t="s">
        <v>454</v>
      </c>
    </row>
    <row r="53" spans="1:38" x14ac:dyDescent="0.25">
      <c r="A53" s="3" t="s">
        <v>175</v>
      </c>
      <c r="B53" s="3" t="s">
        <v>446</v>
      </c>
      <c r="C53" s="3" t="s">
        <v>176</v>
      </c>
      <c r="D53" s="3" t="s">
        <v>574</v>
      </c>
      <c r="E53" s="3" t="s">
        <v>113</v>
      </c>
      <c r="F53" s="3" t="s">
        <v>85</v>
      </c>
      <c r="G53" s="3" t="s">
        <v>288</v>
      </c>
      <c r="H53" s="11">
        <v>45944.375694444447</v>
      </c>
      <c r="I53" s="11">
        <v>45947.334027777775</v>
      </c>
      <c r="J53" s="11"/>
      <c r="K53" s="3" t="s">
        <v>27</v>
      </c>
      <c r="L53" s="3" t="s">
        <v>575</v>
      </c>
      <c r="M53" s="3" t="s">
        <v>288</v>
      </c>
      <c r="N53" s="3" t="s">
        <v>576</v>
      </c>
      <c r="O53" s="3" t="s">
        <v>288</v>
      </c>
      <c r="P53">
        <v>0</v>
      </c>
      <c r="Q53" s="3" t="s">
        <v>410</v>
      </c>
      <c r="R53" s="3" t="s">
        <v>288</v>
      </c>
      <c r="S53" s="3" t="s">
        <v>288</v>
      </c>
      <c r="T53" s="3" t="s">
        <v>288</v>
      </c>
      <c r="V53" s="3" t="s">
        <v>146</v>
      </c>
      <c r="W53" s="3" t="s">
        <v>17</v>
      </c>
      <c r="X53" s="3" t="s">
        <v>18</v>
      </c>
      <c r="Y53" s="3" t="s">
        <v>28</v>
      </c>
      <c r="Z53" s="3" t="s">
        <v>21</v>
      </c>
      <c r="AA53" s="3" t="s">
        <v>458</v>
      </c>
      <c r="AB53" s="3" t="s">
        <v>288</v>
      </c>
      <c r="AC53" s="3" t="s">
        <v>547</v>
      </c>
      <c r="AD53" s="3" t="s">
        <v>434</v>
      </c>
      <c r="AE53" s="3" t="s">
        <v>414</v>
      </c>
      <c r="AF53" s="3" t="s">
        <v>288</v>
      </c>
      <c r="AG53" s="11">
        <v>45944.375694444447</v>
      </c>
      <c r="AH53" s="11"/>
      <c r="AI53" s="10">
        <v>45947</v>
      </c>
      <c r="AJ53">
        <v>3</v>
      </c>
      <c r="AK53" s="3" t="s">
        <v>436</v>
      </c>
      <c r="AL53" s="3" t="s">
        <v>437</v>
      </c>
    </row>
    <row r="54" spans="1:38" x14ac:dyDescent="0.25">
      <c r="A54" s="3" t="s">
        <v>177</v>
      </c>
      <c r="B54" s="3" t="s">
        <v>438</v>
      </c>
      <c r="C54" s="3" t="s">
        <v>178</v>
      </c>
      <c r="D54" s="3" t="s">
        <v>577</v>
      </c>
      <c r="E54" s="3" t="s">
        <v>14</v>
      </c>
      <c r="F54" s="3" t="s">
        <v>24</v>
      </c>
      <c r="G54" s="3" t="s">
        <v>406</v>
      </c>
      <c r="H54" s="11">
        <v>45944.385416666664</v>
      </c>
      <c r="I54" s="11">
        <v>45945.491666666669</v>
      </c>
      <c r="J54" s="11">
        <v>45945.491666666669</v>
      </c>
      <c r="K54" s="3" t="s">
        <v>39</v>
      </c>
      <c r="L54" s="3" t="s">
        <v>529</v>
      </c>
      <c r="M54" s="3" t="s">
        <v>578</v>
      </c>
      <c r="N54" s="3" t="s">
        <v>467</v>
      </c>
      <c r="O54" s="3" t="s">
        <v>506</v>
      </c>
      <c r="P54">
        <v>3</v>
      </c>
      <c r="Q54" s="3" t="s">
        <v>422</v>
      </c>
      <c r="R54" s="3" t="s">
        <v>433</v>
      </c>
      <c r="S54" s="3" t="s">
        <v>288</v>
      </c>
      <c r="T54" s="3" t="s">
        <v>451</v>
      </c>
      <c r="U54">
        <v>389</v>
      </c>
      <c r="V54" s="3" t="s">
        <v>139</v>
      </c>
      <c r="W54" s="3" t="s">
        <v>17</v>
      </c>
      <c r="X54" s="3" t="s">
        <v>18</v>
      </c>
      <c r="Y54" s="3" t="s">
        <v>40</v>
      </c>
      <c r="Z54" s="3" t="s">
        <v>47</v>
      </c>
      <c r="AA54" s="3" t="s">
        <v>425</v>
      </c>
      <c r="AB54" s="3" t="s">
        <v>323</v>
      </c>
      <c r="AC54" s="3" t="s">
        <v>288</v>
      </c>
      <c r="AD54" s="3" t="s">
        <v>444</v>
      </c>
      <c r="AE54" s="3" t="s">
        <v>427</v>
      </c>
      <c r="AF54" s="3" t="s">
        <v>288</v>
      </c>
      <c r="AG54" s="11">
        <v>45944.385416666664</v>
      </c>
      <c r="AH54" s="11">
        <v>45945.491666666669</v>
      </c>
      <c r="AI54" s="10">
        <v>45949</v>
      </c>
      <c r="AJ54">
        <v>0</v>
      </c>
      <c r="AK54" s="3" t="s">
        <v>436</v>
      </c>
      <c r="AL54" s="3" t="s">
        <v>416</v>
      </c>
    </row>
    <row r="55" spans="1:38" x14ac:dyDescent="0.25">
      <c r="A55" s="3" t="s">
        <v>179</v>
      </c>
      <c r="B55" s="3" t="s">
        <v>404</v>
      </c>
      <c r="C55" s="3" t="s">
        <v>180</v>
      </c>
      <c r="D55" s="3" t="s">
        <v>579</v>
      </c>
      <c r="E55" s="3" t="s">
        <v>14</v>
      </c>
      <c r="F55" s="3" t="s">
        <v>24</v>
      </c>
      <c r="G55" s="3" t="s">
        <v>406</v>
      </c>
      <c r="H55" s="11">
        <v>45944.387499999997</v>
      </c>
      <c r="I55" s="11">
        <v>45945.992361111108</v>
      </c>
      <c r="J55" s="11">
        <v>45945.992361111108</v>
      </c>
      <c r="K55" s="3" t="s">
        <v>39</v>
      </c>
      <c r="L55" s="3" t="s">
        <v>466</v>
      </c>
      <c r="M55" s="3" t="s">
        <v>541</v>
      </c>
      <c r="N55" s="3" t="s">
        <v>420</v>
      </c>
      <c r="O55" s="3" t="s">
        <v>288</v>
      </c>
      <c r="P55">
        <v>0</v>
      </c>
      <c r="Q55" s="3" t="s">
        <v>410</v>
      </c>
      <c r="R55" s="3" t="s">
        <v>288</v>
      </c>
      <c r="S55" s="3" t="s">
        <v>288</v>
      </c>
      <c r="T55" s="3" t="s">
        <v>480</v>
      </c>
      <c r="U55">
        <v>260</v>
      </c>
      <c r="V55" s="3" t="s">
        <v>181</v>
      </c>
      <c r="W55" s="3" t="s">
        <v>17</v>
      </c>
      <c r="X55" s="3" t="s">
        <v>124</v>
      </c>
      <c r="Y55" s="3" t="s">
        <v>46</v>
      </c>
      <c r="Z55" s="3" t="s">
        <v>29</v>
      </c>
      <c r="AA55" s="3" t="s">
        <v>458</v>
      </c>
      <c r="AB55" s="3" t="s">
        <v>305</v>
      </c>
      <c r="AC55" s="3" t="s">
        <v>464</v>
      </c>
      <c r="AD55" s="3" t="s">
        <v>460</v>
      </c>
      <c r="AE55" s="3" t="s">
        <v>483</v>
      </c>
      <c r="AF55" s="3" t="s">
        <v>288</v>
      </c>
      <c r="AG55" s="11">
        <v>45944.387499999997</v>
      </c>
      <c r="AH55" s="11">
        <v>45945.992361111108</v>
      </c>
      <c r="AI55" s="10"/>
      <c r="AJ55">
        <v>3</v>
      </c>
      <c r="AK55" s="3" t="s">
        <v>428</v>
      </c>
      <c r="AL55" s="3" t="s">
        <v>437</v>
      </c>
    </row>
    <row r="56" spans="1:38" x14ac:dyDescent="0.25">
      <c r="A56" s="3" t="s">
        <v>182</v>
      </c>
      <c r="B56" s="3" t="s">
        <v>404</v>
      </c>
      <c r="C56" s="3" t="s">
        <v>178</v>
      </c>
      <c r="D56" s="3" t="s">
        <v>580</v>
      </c>
      <c r="E56" s="3" t="s">
        <v>14</v>
      </c>
      <c r="F56" s="3" t="s">
        <v>24</v>
      </c>
      <c r="G56" s="3" t="s">
        <v>406</v>
      </c>
      <c r="H56" s="11">
        <v>45944.408333333333</v>
      </c>
      <c r="I56" s="11">
        <v>45944.719444444447</v>
      </c>
      <c r="J56" s="11">
        <v>45944.719444444447</v>
      </c>
      <c r="K56" s="3" t="s">
        <v>34</v>
      </c>
      <c r="L56" s="3" t="s">
        <v>488</v>
      </c>
      <c r="M56" s="3" t="s">
        <v>503</v>
      </c>
      <c r="N56" s="3" t="s">
        <v>420</v>
      </c>
      <c r="O56" s="3" t="s">
        <v>536</v>
      </c>
      <c r="P56">
        <v>3</v>
      </c>
      <c r="Q56" s="3" t="s">
        <v>410</v>
      </c>
      <c r="R56" s="3" t="s">
        <v>288</v>
      </c>
      <c r="S56" s="3" t="s">
        <v>288</v>
      </c>
      <c r="T56" s="3" t="s">
        <v>423</v>
      </c>
      <c r="U56">
        <v>137</v>
      </c>
      <c r="V56" s="3" t="s">
        <v>139</v>
      </c>
      <c r="W56" s="3" t="s">
        <v>17</v>
      </c>
      <c r="X56" s="3" t="s">
        <v>18</v>
      </c>
      <c r="Y56" s="3" t="s">
        <v>46</v>
      </c>
      <c r="Z56" s="3" t="s">
        <v>29</v>
      </c>
      <c r="AA56" s="3" t="s">
        <v>425</v>
      </c>
      <c r="AB56" s="3" t="s">
        <v>324</v>
      </c>
      <c r="AC56" s="3" t="s">
        <v>527</v>
      </c>
      <c r="AD56" s="3" t="s">
        <v>413</v>
      </c>
      <c r="AE56" s="3" t="s">
        <v>427</v>
      </c>
      <c r="AF56" s="3" t="s">
        <v>288</v>
      </c>
      <c r="AG56" s="11">
        <v>45944.408333333333</v>
      </c>
      <c r="AH56" s="11">
        <v>45944.719444444447</v>
      </c>
      <c r="AI56" s="10"/>
      <c r="AJ56">
        <v>3</v>
      </c>
      <c r="AK56" s="3" t="s">
        <v>436</v>
      </c>
      <c r="AL56" s="3" t="s">
        <v>454</v>
      </c>
    </row>
    <row r="57" spans="1:38" x14ac:dyDescent="0.25">
      <c r="A57" s="3" t="s">
        <v>183</v>
      </c>
      <c r="B57" s="3" t="s">
        <v>438</v>
      </c>
      <c r="C57" s="3" t="s">
        <v>184</v>
      </c>
      <c r="D57" s="3" t="s">
        <v>581</v>
      </c>
      <c r="E57" s="3" t="s">
        <v>14</v>
      </c>
      <c r="F57" s="3" t="s">
        <v>24</v>
      </c>
      <c r="G57" s="3" t="s">
        <v>406</v>
      </c>
      <c r="H57" s="11">
        <v>45944.559027777781</v>
      </c>
      <c r="I57" s="11">
        <v>45946.064583333333</v>
      </c>
      <c r="J57" s="11">
        <v>45946.064583333333</v>
      </c>
      <c r="K57" s="3" t="s">
        <v>34</v>
      </c>
      <c r="L57" s="3" t="s">
        <v>440</v>
      </c>
      <c r="M57" s="3" t="s">
        <v>526</v>
      </c>
      <c r="N57" s="3" t="s">
        <v>479</v>
      </c>
      <c r="O57" s="3" t="s">
        <v>421</v>
      </c>
      <c r="P57">
        <v>0</v>
      </c>
      <c r="Q57" s="3" t="s">
        <v>288</v>
      </c>
      <c r="R57" s="3" t="s">
        <v>288</v>
      </c>
      <c r="S57" s="3" t="s">
        <v>288</v>
      </c>
      <c r="T57" s="3" t="s">
        <v>423</v>
      </c>
      <c r="U57">
        <v>201</v>
      </c>
      <c r="V57" s="3" t="s">
        <v>70</v>
      </c>
      <c r="W57" s="3" t="s">
        <v>17</v>
      </c>
      <c r="X57" s="3" t="s">
        <v>18</v>
      </c>
      <c r="Y57" s="3" t="s">
        <v>110</v>
      </c>
      <c r="Z57" s="3" t="s">
        <v>21</v>
      </c>
      <c r="AA57" s="3" t="s">
        <v>412</v>
      </c>
      <c r="AB57" s="3" t="s">
        <v>325</v>
      </c>
      <c r="AC57" s="3" t="s">
        <v>288</v>
      </c>
      <c r="AD57" s="3" t="s">
        <v>434</v>
      </c>
      <c r="AE57" s="3" t="s">
        <v>435</v>
      </c>
      <c r="AF57" s="3" t="s">
        <v>288</v>
      </c>
      <c r="AG57" s="11">
        <v>45944.559027777781</v>
      </c>
      <c r="AH57" s="11">
        <v>45946.064583333333</v>
      </c>
      <c r="AI57" s="10">
        <v>45949</v>
      </c>
      <c r="AJ57">
        <v>1</v>
      </c>
      <c r="AK57" s="3" t="s">
        <v>428</v>
      </c>
      <c r="AL57" s="3" t="s">
        <v>416</v>
      </c>
    </row>
    <row r="58" spans="1:38" x14ac:dyDescent="0.25">
      <c r="A58" s="3" t="s">
        <v>185</v>
      </c>
      <c r="B58" s="3" t="s">
        <v>438</v>
      </c>
      <c r="C58" s="3" t="s">
        <v>186</v>
      </c>
      <c r="D58" s="3" t="s">
        <v>582</v>
      </c>
      <c r="E58" s="3" t="s">
        <v>14</v>
      </c>
      <c r="F58" s="3" t="s">
        <v>24</v>
      </c>
      <c r="G58" s="3" t="s">
        <v>406</v>
      </c>
      <c r="H58" s="11">
        <v>45944.568055555559</v>
      </c>
      <c r="I58" s="11">
        <v>45944.827777777777</v>
      </c>
      <c r="J58" s="11">
        <v>45944.827777777777</v>
      </c>
      <c r="K58" s="3" t="s">
        <v>54</v>
      </c>
      <c r="L58" s="3" t="s">
        <v>541</v>
      </c>
      <c r="M58" s="3" t="s">
        <v>419</v>
      </c>
      <c r="N58" s="3" t="s">
        <v>552</v>
      </c>
      <c r="O58" s="3" t="s">
        <v>506</v>
      </c>
      <c r="P58">
        <v>2</v>
      </c>
      <c r="Q58" s="3" t="s">
        <v>422</v>
      </c>
      <c r="R58" s="3" t="s">
        <v>480</v>
      </c>
      <c r="S58" s="3" t="s">
        <v>288</v>
      </c>
      <c r="T58" s="3" t="s">
        <v>433</v>
      </c>
      <c r="U58">
        <v>145</v>
      </c>
      <c r="V58" s="3" t="s">
        <v>32</v>
      </c>
      <c r="W58" s="3" t="s">
        <v>17</v>
      </c>
      <c r="X58" s="3" t="s">
        <v>38</v>
      </c>
      <c r="Y58" s="3" t="s">
        <v>20</v>
      </c>
      <c r="Z58" s="3" t="s">
        <v>47</v>
      </c>
      <c r="AA58" s="3" t="s">
        <v>425</v>
      </c>
      <c r="AB58" s="3" t="s">
        <v>326</v>
      </c>
      <c r="AC58" s="3" t="s">
        <v>288</v>
      </c>
      <c r="AD58" s="3" t="s">
        <v>434</v>
      </c>
      <c r="AE58" s="3" t="s">
        <v>435</v>
      </c>
      <c r="AF58" s="3" t="s">
        <v>288</v>
      </c>
      <c r="AG58" s="11">
        <v>45944.568055555559</v>
      </c>
      <c r="AH58" s="11">
        <v>45944.827777777777</v>
      </c>
      <c r="AI58" s="10"/>
      <c r="AJ58">
        <v>3</v>
      </c>
      <c r="AK58" s="3" t="s">
        <v>415</v>
      </c>
      <c r="AL58" s="3" t="s">
        <v>454</v>
      </c>
    </row>
    <row r="59" spans="1:38" x14ac:dyDescent="0.25">
      <c r="A59" s="3" t="s">
        <v>187</v>
      </c>
      <c r="B59" s="3" t="s">
        <v>404</v>
      </c>
      <c r="C59" s="3" t="s">
        <v>100</v>
      </c>
      <c r="D59" s="3" t="s">
        <v>583</v>
      </c>
      <c r="E59" s="3" t="s">
        <v>58</v>
      </c>
      <c r="F59" s="3" t="s">
        <v>24</v>
      </c>
      <c r="G59" s="3" t="s">
        <v>288</v>
      </c>
      <c r="H59" s="11">
        <v>45944.645833333336</v>
      </c>
      <c r="I59" s="11">
        <v>45946.8125</v>
      </c>
      <c r="J59" s="11"/>
      <c r="K59" s="3" t="s">
        <v>34</v>
      </c>
      <c r="L59" s="3" t="s">
        <v>529</v>
      </c>
      <c r="M59" s="3" t="s">
        <v>288</v>
      </c>
      <c r="N59" s="3" t="s">
        <v>533</v>
      </c>
      <c r="O59" s="3" t="s">
        <v>288</v>
      </c>
      <c r="P59">
        <v>0</v>
      </c>
      <c r="Q59" s="3" t="s">
        <v>288</v>
      </c>
      <c r="R59" s="3" t="s">
        <v>288</v>
      </c>
      <c r="S59" s="3" t="s">
        <v>288</v>
      </c>
      <c r="T59" s="3" t="s">
        <v>288</v>
      </c>
      <c r="V59" s="3" t="s">
        <v>101</v>
      </c>
      <c r="W59" s="3" t="s">
        <v>17</v>
      </c>
      <c r="X59" s="3" t="s">
        <v>38</v>
      </c>
      <c r="Y59" s="3" t="s">
        <v>110</v>
      </c>
      <c r="Z59" s="3" t="s">
        <v>41</v>
      </c>
      <c r="AA59" s="3" t="s">
        <v>476</v>
      </c>
      <c r="AB59" s="3" t="s">
        <v>288</v>
      </c>
      <c r="AC59" s="3" t="s">
        <v>288</v>
      </c>
      <c r="AD59" s="3" t="s">
        <v>482</v>
      </c>
      <c r="AE59" s="3" t="s">
        <v>494</v>
      </c>
      <c r="AF59" s="3" t="s">
        <v>288</v>
      </c>
      <c r="AG59" s="11">
        <v>45944.645833333336</v>
      </c>
      <c r="AH59" s="11"/>
      <c r="AI59" s="10"/>
      <c r="AJ59">
        <v>2</v>
      </c>
      <c r="AK59" s="3" t="s">
        <v>436</v>
      </c>
      <c r="AL59" s="3" t="s">
        <v>454</v>
      </c>
    </row>
    <row r="60" spans="1:38" x14ac:dyDescent="0.25">
      <c r="A60" s="3" t="s">
        <v>188</v>
      </c>
      <c r="B60" s="3" t="s">
        <v>446</v>
      </c>
      <c r="C60" s="3" t="s">
        <v>189</v>
      </c>
      <c r="D60" s="3" t="s">
        <v>584</v>
      </c>
      <c r="E60" s="3" t="s">
        <v>58</v>
      </c>
      <c r="F60" s="3" t="s">
        <v>15</v>
      </c>
      <c r="G60" s="3" t="s">
        <v>288</v>
      </c>
      <c r="H60" s="11">
        <v>45944.776388888888</v>
      </c>
      <c r="I60" s="11">
        <v>45946.526388888888</v>
      </c>
      <c r="J60" s="11"/>
      <c r="K60" s="3" t="s">
        <v>27</v>
      </c>
      <c r="L60" s="3" t="s">
        <v>418</v>
      </c>
      <c r="M60" s="3" t="s">
        <v>288</v>
      </c>
      <c r="N60" s="3" t="s">
        <v>474</v>
      </c>
      <c r="O60" s="3" t="s">
        <v>500</v>
      </c>
      <c r="P60">
        <v>0</v>
      </c>
      <c r="Q60" s="3" t="s">
        <v>410</v>
      </c>
      <c r="R60" s="3" t="s">
        <v>288</v>
      </c>
      <c r="S60" s="3" t="s">
        <v>288</v>
      </c>
      <c r="T60" s="3" t="s">
        <v>288</v>
      </c>
      <c r="V60" s="3" t="s">
        <v>181</v>
      </c>
      <c r="W60" s="3" t="s">
        <v>17</v>
      </c>
      <c r="X60" s="3" t="s">
        <v>53</v>
      </c>
      <c r="Y60" s="3" t="s">
        <v>60</v>
      </c>
      <c r="Z60" s="3" t="s">
        <v>21</v>
      </c>
      <c r="AA60" s="3" t="s">
        <v>425</v>
      </c>
      <c r="AB60" s="3" t="s">
        <v>288</v>
      </c>
      <c r="AC60" s="3" t="s">
        <v>288</v>
      </c>
      <c r="AD60" s="3" t="s">
        <v>413</v>
      </c>
      <c r="AE60" s="3" t="s">
        <v>445</v>
      </c>
      <c r="AF60" s="3" t="s">
        <v>288</v>
      </c>
      <c r="AG60" s="11">
        <v>45944.776388888888</v>
      </c>
      <c r="AH60" s="11"/>
      <c r="AI60" s="10"/>
      <c r="AJ60">
        <v>3</v>
      </c>
      <c r="AK60" s="3" t="s">
        <v>428</v>
      </c>
      <c r="AL60" s="3" t="s">
        <v>437</v>
      </c>
    </row>
    <row r="61" spans="1:38" x14ac:dyDescent="0.25">
      <c r="A61" s="3" t="s">
        <v>190</v>
      </c>
      <c r="B61" s="3" t="s">
        <v>446</v>
      </c>
      <c r="C61" s="3" t="s">
        <v>191</v>
      </c>
      <c r="D61" s="3" t="s">
        <v>585</v>
      </c>
      <c r="E61" s="3" t="s">
        <v>14</v>
      </c>
      <c r="F61" s="3" t="s">
        <v>85</v>
      </c>
      <c r="G61" s="3" t="s">
        <v>406</v>
      </c>
      <c r="H61" s="11">
        <v>45945.511111111111</v>
      </c>
      <c r="I61" s="11">
        <v>45945.838888888888</v>
      </c>
      <c r="J61" s="11">
        <v>45945.838888888888</v>
      </c>
      <c r="K61" s="3" t="s">
        <v>27</v>
      </c>
      <c r="L61" s="3" t="s">
        <v>448</v>
      </c>
      <c r="M61" s="3" t="s">
        <v>586</v>
      </c>
      <c r="N61" s="3" t="s">
        <v>504</v>
      </c>
      <c r="O61" s="3" t="s">
        <v>443</v>
      </c>
      <c r="P61">
        <v>0</v>
      </c>
      <c r="Q61" s="3" t="s">
        <v>288</v>
      </c>
      <c r="R61" s="3" t="s">
        <v>288</v>
      </c>
      <c r="S61" s="3" t="s">
        <v>288</v>
      </c>
      <c r="T61" s="3" t="s">
        <v>480</v>
      </c>
      <c r="U61">
        <v>181</v>
      </c>
      <c r="V61" s="3" t="s">
        <v>192</v>
      </c>
      <c r="W61" s="3" t="s">
        <v>26</v>
      </c>
      <c r="X61" s="3" t="s">
        <v>33</v>
      </c>
      <c r="Y61" s="3" t="s">
        <v>40</v>
      </c>
      <c r="Z61" s="3" t="s">
        <v>41</v>
      </c>
      <c r="AA61" s="3" t="s">
        <v>458</v>
      </c>
      <c r="AB61" s="3" t="s">
        <v>327</v>
      </c>
      <c r="AC61" s="3" t="s">
        <v>481</v>
      </c>
      <c r="AD61" s="3" t="s">
        <v>482</v>
      </c>
      <c r="AE61" s="3" t="s">
        <v>490</v>
      </c>
      <c r="AF61" s="3" t="s">
        <v>288</v>
      </c>
      <c r="AG61" s="11">
        <v>45945.511111111111</v>
      </c>
      <c r="AH61" s="11">
        <v>45945.838888888888</v>
      </c>
      <c r="AI61" s="10">
        <v>45950</v>
      </c>
      <c r="AJ61">
        <v>0</v>
      </c>
      <c r="AK61" s="3" t="s">
        <v>428</v>
      </c>
      <c r="AL61" s="3" t="s">
        <v>416</v>
      </c>
    </row>
    <row r="62" spans="1:38" x14ac:dyDescent="0.25">
      <c r="A62" s="3" t="s">
        <v>193</v>
      </c>
      <c r="B62" s="3" t="s">
        <v>446</v>
      </c>
      <c r="C62" s="3" t="s">
        <v>194</v>
      </c>
      <c r="D62" s="3" t="s">
        <v>587</v>
      </c>
      <c r="E62" s="3" t="s">
        <v>14</v>
      </c>
      <c r="F62" s="3" t="s">
        <v>85</v>
      </c>
      <c r="G62" s="3" t="s">
        <v>406</v>
      </c>
      <c r="H62" s="11">
        <v>45946.384722222225</v>
      </c>
      <c r="I62" s="11">
        <v>45948.378472222219</v>
      </c>
      <c r="J62" s="11">
        <v>45948.378472222219</v>
      </c>
      <c r="K62" s="3" t="s">
        <v>72</v>
      </c>
      <c r="L62" s="3" t="s">
        <v>456</v>
      </c>
      <c r="M62" s="3" t="s">
        <v>559</v>
      </c>
      <c r="N62" s="3" t="s">
        <v>522</v>
      </c>
      <c r="O62" s="3" t="s">
        <v>421</v>
      </c>
      <c r="P62">
        <v>1</v>
      </c>
      <c r="Q62" s="3" t="s">
        <v>288</v>
      </c>
      <c r="R62" s="3" t="s">
        <v>288</v>
      </c>
      <c r="S62" s="3" t="s">
        <v>288</v>
      </c>
      <c r="T62" s="3" t="s">
        <v>480</v>
      </c>
      <c r="U62">
        <v>227</v>
      </c>
      <c r="V62" s="3" t="s">
        <v>114</v>
      </c>
      <c r="W62" s="3" t="s">
        <v>26</v>
      </c>
      <c r="X62" s="3" t="s">
        <v>33</v>
      </c>
      <c r="Y62" s="3" t="s">
        <v>28</v>
      </c>
      <c r="Z62" s="3" t="s">
        <v>47</v>
      </c>
      <c r="AA62" s="3" t="s">
        <v>412</v>
      </c>
      <c r="AB62" s="3" t="s">
        <v>328</v>
      </c>
      <c r="AC62" s="3" t="s">
        <v>527</v>
      </c>
      <c r="AD62" s="3" t="s">
        <v>426</v>
      </c>
      <c r="AE62" s="3" t="s">
        <v>435</v>
      </c>
      <c r="AF62" s="3" t="s">
        <v>288</v>
      </c>
      <c r="AG62" s="11">
        <v>45946.384722222225</v>
      </c>
      <c r="AH62" s="11">
        <v>45948.378472222219</v>
      </c>
      <c r="AI62" s="10"/>
      <c r="AJ62">
        <v>0</v>
      </c>
      <c r="AK62" s="3" t="s">
        <v>415</v>
      </c>
      <c r="AL62" s="3" t="s">
        <v>437</v>
      </c>
    </row>
    <row r="63" spans="1:38" x14ac:dyDescent="0.25">
      <c r="A63" s="3" t="s">
        <v>195</v>
      </c>
      <c r="B63" s="3" t="s">
        <v>404</v>
      </c>
      <c r="C63" s="3" t="s">
        <v>196</v>
      </c>
      <c r="D63" s="3" t="s">
        <v>588</v>
      </c>
      <c r="E63" s="3" t="s">
        <v>14</v>
      </c>
      <c r="F63" s="3" t="s">
        <v>24</v>
      </c>
      <c r="G63" s="3" t="s">
        <v>406</v>
      </c>
      <c r="H63" s="11">
        <v>45946.394444444442</v>
      </c>
      <c r="I63" s="11">
        <v>45947.616666666669</v>
      </c>
      <c r="J63" s="11">
        <v>45947.616666666669</v>
      </c>
      <c r="K63" s="3" t="s">
        <v>19</v>
      </c>
      <c r="L63" s="3" t="s">
        <v>418</v>
      </c>
      <c r="M63" s="3" t="s">
        <v>449</v>
      </c>
      <c r="N63" s="3" t="s">
        <v>504</v>
      </c>
      <c r="O63" s="3" t="s">
        <v>536</v>
      </c>
      <c r="P63">
        <v>1</v>
      </c>
      <c r="Q63" s="3" t="s">
        <v>288</v>
      </c>
      <c r="R63" s="3" t="s">
        <v>288</v>
      </c>
      <c r="S63" s="3" t="s">
        <v>288</v>
      </c>
      <c r="T63" s="3" t="s">
        <v>451</v>
      </c>
      <c r="U63">
        <v>132</v>
      </c>
      <c r="V63" s="3" t="s">
        <v>181</v>
      </c>
      <c r="W63" s="3" t="s">
        <v>17</v>
      </c>
      <c r="X63" s="3" t="s">
        <v>18</v>
      </c>
      <c r="Y63" s="3" t="s">
        <v>55</v>
      </c>
      <c r="Z63" s="3" t="s">
        <v>41</v>
      </c>
      <c r="AA63" s="3" t="s">
        <v>476</v>
      </c>
      <c r="AB63" s="3" t="s">
        <v>329</v>
      </c>
      <c r="AC63" s="3" t="s">
        <v>288</v>
      </c>
      <c r="AD63" s="3" t="s">
        <v>426</v>
      </c>
      <c r="AE63" s="3" t="s">
        <v>490</v>
      </c>
      <c r="AF63" s="3" t="s">
        <v>288</v>
      </c>
      <c r="AG63" s="11">
        <v>45946.394444444442</v>
      </c>
      <c r="AH63" s="11">
        <v>45947.616666666669</v>
      </c>
      <c r="AI63" s="10">
        <v>45951</v>
      </c>
      <c r="AJ63">
        <v>2</v>
      </c>
      <c r="AK63" s="3" t="s">
        <v>428</v>
      </c>
      <c r="AL63" s="3" t="s">
        <v>437</v>
      </c>
    </row>
    <row r="64" spans="1:38" x14ac:dyDescent="0.25">
      <c r="A64" s="3" t="s">
        <v>197</v>
      </c>
      <c r="B64" s="3" t="s">
        <v>438</v>
      </c>
      <c r="C64" s="3" t="s">
        <v>198</v>
      </c>
      <c r="D64" s="3" t="s">
        <v>589</v>
      </c>
      <c r="E64" s="3" t="s">
        <v>14</v>
      </c>
      <c r="F64" s="3" t="s">
        <v>24</v>
      </c>
      <c r="G64" s="3" t="s">
        <v>406</v>
      </c>
      <c r="H64" s="11">
        <v>45946.556250000001</v>
      </c>
      <c r="I64" s="11">
        <v>45948.03125</v>
      </c>
      <c r="J64" s="11">
        <v>45948.03125</v>
      </c>
      <c r="K64" s="3" t="s">
        <v>27</v>
      </c>
      <c r="L64" s="3" t="s">
        <v>578</v>
      </c>
      <c r="M64" s="3" t="s">
        <v>496</v>
      </c>
      <c r="N64" s="3" t="s">
        <v>522</v>
      </c>
      <c r="O64" s="3" t="s">
        <v>288</v>
      </c>
      <c r="P64">
        <v>2</v>
      </c>
      <c r="Q64" s="3" t="s">
        <v>410</v>
      </c>
      <c r="R64" s="3" t="s">
        <v>288</v>
      </c>
      <c r="S64" s="3" t="s">
        <v>288</v>
      </c>
      <c r="T64" s="3" t="s">
        <v>433</v>
      </c>
      <c r="U64">
        <v>432</v>
      </c>
      <c r="V64" s="3" t="s">
        <v>146</v>
      </c>
      <c r="W64" s="3" t="s">
        <v>17</v>
      </c>
      <c r="X64" s="3" t="s">
        <v>124</v>
      </c>
      <c r="Y64" s="3" t="s">
        <v>60</v>
      </c>
      <c r="Z64" s="3" t="s">
        <v>41</v>
      </c>
      <c r="AA64" s="3" t="s">
        <v>425</v>
      </c>
      <c r="AB64" s="3" t="s">
        <v>330</v>
      </c>
      <c r="AC64" s="3" t="s">
        <v>459</v>
      </c>
      <c r="AD64" s="3" t="s">
        <v>434</v>
      </c>
      <c r="AE64" s="3" t="s">
        <v>453</v>
      </c>
      <c r="AF64" s="3" t="s">
        <v>590</v>
      </c>
      <c r="AG64" s="11">
        <v>45946.556250000001</v>
      </c>
      <c r="AH64" s="11">
        <v>45948.03125</v>
      </c>
      <c r="AI64" s="10">
        <v>45948</v>
      </c>
      <c r="AJ64">
        <v>2</v>
      </c>
      <c r="AK64" s="3" t="s">
        <v>415</v>
      </c>
      <c r="AL64" s="3" t="s">
        <v>416</v>
      </c>
    </row>
    <row r="65" spans="1:38" x14ac:dyDescent="0.25">
      <c r="A65" s="3" t="s">
        <v>199</v>
      </c>
      <c r="B65" s="3" t="s">
        <v>438</v>
      </c>
      <c r="C65" s="3" t="s">
        <v>200</v>
      </c>
      <c r="D65" s="3" t="s">
        <v>591</v>
      </c>
      <c r="E65" s="3" t="s">
        <v>97</v>
      </c>
      <c r="F65" s="3" t="s">
        <v>15</v>
      </c>
      <c r="G65" s="3" t="s">
        <v>406</v>
      </c>
      <c r="H65" s="11">
        <v>45946.558333333334</v>
      </c>
      <c r="I65" s="11">
        <v>45947.099305555559</v>
      </c>
      <c r="J65" s="11">
        <v>45947.099305555559</v>
      </c>
      <c r="K65" s="3" t="s">
        <v>72</v>
      </c>
      <c r="L65" s="3" t="s">
        <v>448</v>
      </c>
      <c r="M65" s="3" t="s">
        <v>492</v>
      </c>
      <c r="N65" s="3" t="s">
        <v>504</v>
      </c>
      <c r="O65" s="3" t="s">
        <v>288</v>
      </c>
      <c r="P65">
        <v>3</v>
      </c>
      <c r="Q65" s="3" t="s">
        <v>288</v>
      </c>
      <c r="R65" s="3" t="s">
        <v>288</v>
      </c>
      <c r="S65" s="3" t="s">
        <v>288</v>
      </c>
      <c r="T65" s="3" t="s">
        <v>424</v>
      </c>
      <c r="U65">
        <v>388</v>
      </c>
      <c r="V65" s="3" t="s">
        <v>91</v>
      </c>
      <c r="W65" s="3" t="s">
        <v>26</v>
      </c>
      <c r="X65" s="3" t="s">
        <v>38</v>
      </c>
      <c r="Y65" s="3" t="s">
        <v>73</v>
      </c>
      <c r="Z65" s="3" t="s">
        <v>47</v>
      </c>
      <c r="AA65" s="3" t="s">
        <v>476</v>
      </c>
      <c r="AB65" s="3" t="s">
        <v>331</v>
      </c>
      <c r="AC65" s="3" t="s">
        <v>288</v>
      </c>
      <c r="AD65" s="3" t="s">
        <v>482</v>
      </c>
      <c r="AE65" s="3" t="s">
        <v>490</v>
      </c>
      <c r="AF65" s="3" t="s">
        <v>288</v>
      </c>
      <c r="AG65" s="11">
        <v>45946.558333333334</v>
      </c>
      <c r="AH65" s="11">
        <v>45947.099305555559</v>
      </c>
      <c r="AI65" s="10"/>
      <c r="AJ65">
        <v>1</v>
      </c>
      <c r="AK65" s="3" t="s">
        <v>415</v>
      </c>
      <c r="AL65" s="3" t="s">
        <v>454</v>
      </c>
    </row>
    <row r="66" spans="1:38" x14ac:dyDescent="0.25">
      <c r="A66" s="3" t="s">
        <v>201</v>
      </c>
      <c r="B66" s="3" t="s">
        <v>446</v>
      </c>
      <c r="C66" s="3" t="s">
        <v>202</v>
      </c>
      <c r="D66" s="3" t="s">
        <v>592</v>
      </c>
      <c r="E66" s="3" t="s">
        <v>58</v>
      </c>
      <c r="F66" s="3" t="s">
        <v>15</v>
      </c>
      <c r="G66" s="3" t="s">
        <v>288</v>
      </c>
      <c r="H66" s="11">
        <v>45946.59375</v>
      </c>
      <c r="I66" s="11">
        <v>45946.635416666664</v>
      </c>
      <c r="J66" s="11"/>
      <c r="K66" s="3" t="s">
        <v>19</v>
      </c>
      <c r="L66" s="3" t="s">
        <v>407</v>
      </c>
      <c r="M66" s="3" t="s">
        <v>288</v>
      </c>
      <c r="N66" s="3" t="s">
        <v>467</v>
      </c>
      <c r="O66" s="3" t="s">
        <v>288</v>
      </c>
      <c r="P66">
        <v>1</v>
      </c>
      <c r="Q66" s="3" t="s">
        <v>422</v>
      </c>
      <c r="R66" s="3" t="s">
        <v>288</v>
      </c>
      <c r="S66" s="3" t="s">
        <v>288</v>
      </c>
      <c r="T66" s="3" t="s">
        <v>288</v>
      </c>
      <c r="V66" s="3" t="s">
        <v>127</v>
      </c>
      <c r="W66" s="3" t="s">
        <v>17</v>
      </c>
      <c r="X66" s="3" t="s">
        <v>121</v>
      </c>
      <c r="Y66" s="3" t="s">
        <v>55</v>
      </c>
      <c r="Z66" s="3" t="s">
        <v>29</v>
      </c>
      <c r="AA66" s="3" t="s">
        <v>476</v>
      </c>
      <c r="AB66" s="3" t="s">
        <v>288</v>
      </c>
      <c r="AC66" s="3" t="s">
        <v>288</v>
      </c>
      <c r="AD66" s="3" t="s">
        <v>444</v>
      </c>
      <c r="AE66" s="3" t="s">
        <v>524</v>
      </c>
      <c r="AF66" s="3" t="s">
        <v>288</v>
      </c>
      <c r="AG66" s="11">
        <v>45946.59375</v>
      </c>
      <c r="AH66" s="11"/>
      <c r="AI66" s="10"/>
      <c r="AJ66">
        <v>0</v>
      </c>
      <c r="AK66" s="3" t="s">
        <v>415</v>
      </c>
      <c r="AL66" s="3" t="s">
        <v>454</v>
      </c>
    </row>
    <row r="67" spans="1:38" x14ac:dyDescent="0.25">
      <c r="A67" s="3" t="s">
        <v>203</v>
      </c>
      <c r="B67" s="3" t="s">
        <v>438</v>
      </c>
      <c r="C67" s="3" t="s">
        <v>204</v>
      </c>
      <c r="D67" s="3" t="s">
        <v>593</v>
      </c>
      <c r="E67" s="3" t="s">
        <v>113</v>
      </c>
      <c r="F67" s="3" t="s">
        <v>24</v>
      </c>
      <c r="G67" s="3" t="s">
        <v>288</v>
      </c>
      <c r="H67" s="11">
        <v>45947.606944444444</v>
      </c>
      <c r="I67" s="11">
        <v>45949.56527777778</v>
      </c>
      <c r="J67" s="11"/>
      <c r="K67" s="3" t="s">
        <v>27</v>
      </c>
      <c r="L67" s="3" t="s">
        <v>430</v>
      </c>
      <c r="M67" s="3" t="s">
        <v>288</v>
      </c>
      <c r="N67" s="3" t="s">
        <v>493</v>
      </c>
      <c r="O67" s="3" t="s">
        <v>443</v>
      </c>
      <c r="P67">
        <v>2</v>
      </c>
      <c r="Q67" s="3" t="s">
        <v>288</v>
      </c>
      <c r="R67" s="3" t="s">
        <v>288</v>
      </c>
      <c r="S67" s="3" t="s">
        <v>288</v>
      </c>
      <c r="T67" s="3" t="s">
        <v>288</v>
      </c>
      <c r="V67" s="3" t="s">
        <v>146</v>
      </c>
      <c r="W67" s="3" t="s">
        <v>17</v>
      </c>
      <c r="X67" s="3" t="s">
        <v>71</v>
      </c>
      <c r="Y67" s="3" t="s">
        <v>73</v>
      </c>
      <c r="Z67" s="3" t="s">
        <v>47</v>
      </c>
      <c r="AA67" s="3" t="s">
        <v>458</v>
      </c>
      <c r="AB67" s="3" t="s">
        <v>288</v>
      </c>
      <c r="AC67" s="3" t="s">
        <v>485</v>
      </c>
      <c r="AD67" s="3" t="s">
        <v>444</v>
      </c>
      <c r="AE67" s="3" t="s">
        <v>445</v>
      </c>
      <c r="AF67" s="3" t="s">
        <v>288</v>
      </c>
      <c r="AG67" s="11">
        <v>45947.606944444444</v>
      </c>
      <c r="AH67" s="11"/>
      <c r="AI67" s="10"/>
      <c r="AJ67">
        <v>1</v>
      </c>
      <c r="AK67" s="3" t="s">
        <v>428</v>
      </c>
      <c r="AL67" s="3" t="s">
        <v>437</v>
      </c>
    </row>
    <row r="68" spans="1:38" x14ac:dyDescent="0.25">
      <c r="A68" s="3" t="s">
        <v>205</v>
      </c>
      <c r="B68" s="3" t="s">
        <v>446</v>
      </c>
      <c r="C68" s="3" t="s">
        <v>206</v>
      </c>
      <c r="D68" s="3" t="s">
        <v>594</v>
      </c>
      <c r="E68" s="3" t="s">
        <v>97</v>
      </c>
      <c r="F68" s="3" t="s">
        <v>24</v>
      </c>
      <c r="G68" s="3" t="s">
        <v>406</v>
      </c>
      <c r="H68" s="11">
        <v>45948.587500000001</v>
      </c>
      <c r="I68" s="11">
        <v>45950.157638888886</v>
      </c>
      <c r="J68" s="11">
        <v>45950.157638888886</v>
      </c>
      <c r="K68" s="3" t="s">
        <v>19</v>
      </c>
      <c r="L68" s="3" t="s">
        <v>498</v>
      </c>
      <c r="M68" s="3" t="s">
        <v>496</v>
      </c>
      <c r="N68" s="3" t="s">
        <v>595</v>
      </c>
      <c r="O68" s="3" t="s">
        <v>288</v>
      </c>
      <c r="P68">
        <v>2</v>
      </c>
      <c r="Q68" s="3" t="s">
        <v>288</v>
      </c>
      <c r="R68" s="3" t="s">
        <v>433</v>
      </c>
      <c r="S68" s="3" t="s">
        <v>288</v>
      </c>
      <c r="T68" s="3" t="s">
        <v>451</v>
      </c>
      <c r="U68">
        <v>383</v>
      </c>
      <c r="V68" s="3" t="s">
        <v>82</v>
      </c>
      <c r="W68" s="3" t="s">
        <v>26</v>
      </c>
      <c r="X68" s="3" t="s">
        <v>45</v>
      </c>
      <c r="Y68" s="3" t="s">
        <v>67</v>
      </c>
      <c r="Z68" s="3" t="s">
        <v>47</v>
      </c>
      <c r="AA68" s="3" t="s">
        <v>425</v>
      </c>
      <c r="AB68" s="3" t="s">
        <v>332</v>
      </c>
      <c r="AC68" s="3" t="s">
        <v>288</v>
      </c>
      <c r="AD68" s="3" t="s">
        <v>444</v>
      </c>
      <c r="AE68" s="3" t="s">
        <v>483</v>
      </c>
      <c r="AF68" s="3" t="s">
        <v>288</v>
      </c>
      <c r="AG68" s="11">
        <v>45948.587500000001</v>
      </c>
      <c r="AH68" s="11">
        <v>45950.157638888886</v>
      </c>
      <c r="AI68" s="10">
        <v>45950</v>
      </c>
      <c r="AJ68">
        <v>0</v>
      </c>
      <c r="AK68" s="3" t="s">
        <v>436</v>
      </c>
      <c r="AL68" s="3" t="s">
        <v>454</v>
      </c>
    </row>
    <row r="69" spans="1:38" x14ac:dyDescent="0.25">
      <c r="A69" s="3" t="s">
        <v>207</v>
      </c>
      <c r="B69" s="3" t="s">
        <v>438</v>
      </c>
      <c r="C69" s="3" t="s">
        <v>208</v>
      </c>
      <c r="D69" s="3" t="s">
        <v>596</v>
      </c>
      <c r="E69" s="3" t="s">
        <v>97</v>
      </c>
      <c r="F69" s="3" t="s">
        <v>15</v>
      </c>
      <c r="G69" s="3" t="s">
        <v>406</v>
      </c>
      <c r="H69" s="11">
        <v>45948.654861111114</v>
      </c>
      <c r="I69" s="11">
        <v>45950.613888888889</v>
      </c>
      <c r="J69" s="11">
        <v>45950.613888888889</v>
      </c>
      <c r="K69" s="3" t="s">
        <v>27</v>
      </c>
      <c r="L69" s="3" t="s">
        <v>575</v>
      </c>
      <c r="M69" s="3" t="s">
        <v>408</v>
      </c>
      <c r="N69" s="3" t="s">
        <v>552</v>
      </c>
      <c r="O69" s="3" t="s">
        <v>443</v>
      </c>
      <c r="P69">
        <v>2</v>
      </c>
      <c r="Q69" s="3" t="s">
        <v>288</v>
      </c>
      <c r="R69" s="3" t="s">
        <v>288</v>
      </c>
      <c r="S69" s="3" t="s">
        <v>288</v>
      </c>
      <c r="T69" s="3" t="s">
        <v>411</v>
      </c>
      <c r="U69">
        <v>301</v>
      </c>
      <c r="V69" s="3" t="s">
        <v>209</v>
      </c>
      <c r="W69" s="3" t="s">
        <v>17</v>
      </c>
      <c r="X69" s="3" t="s">
        <v>33</v>
      </c>
      <c r="Y69" s="3" t="s">
        <v>46</v>
      </c>
      <c r="Z69" s="3" t="s">
        <v>21</v>
      </c>
      <c r="AA69" s="3" t="s">
        <v>476</v>
      </c>
      <c r="AB69" s="3" t="s">
        <v>333</v>
      </c>
      <c r="AC69" s="3" t="s">
        <v>563</v>
      </c>
      <c r="AD69" s="3" t="s">
        <v>460</v>
      </c>
      <c r="AE69" s="3" t="s">
        <v>427</v>
      </c>
      <c r="AF69" s="3" t="s">
        <v>288</v>
      </c>
      <c r="AG69" s="11">
        <v>45948.654861111114</v>
      </c>
      <c r="AH69" s="11">
        <v>45950.613888888889</v>
      </c>
      <c r="AI69" s="10">
        <v>45950</v>
      </c>
      <c r="AJ69">
        <v>3</v>
      </c>
      <c r="AK69" s="3" t="s">
        <v>436</v>
      </c>
      <c r="AL69" s="3" t="s">
        <v>454</v>
      </c>
    </row>
    <row r="70" spans="1:38" x14ac:dyDescent="0.25">
      <c r="A70" s="3" t="s">
        <v>210</v>
      </c>
      <c r="B70" s="3" t="s">
        <v>404</v>
      </c>
      <c r="C70" s="3" t="s">
        <v>211</v>
      </c>
      <c r="D70" s="3" t="s">
        <v>597</v>
      </c>
      <c r="E70" s="3" t="s">
        <v>14</v>
      </c>
      <c r="F70" s="3" t="s">
        <v>24</v>
      </c>
      <c r="G70" s="3" t="s">
        <v>406</v>
      </c>
      <c r="H70" s="11">
        <v>45948.76666666667</v>
      </c>
      <c r="I70" s="11">
        <v>45950.762499999997</v>
      </c>
      <c r="J70" s="11">
        <v>45950.762499999997</v>
      </c>
      <c r="K70" s="3" t="s">
        <v>72</v>
      </c>
      <c r="L70" s="3" t="s">
        <v>448</v>
      </c>
      <c r="M70" s="3" t="s">
        <v>569</v>
      </c>
      <c r="N70" s="3" t="s">
        <v>598</v>
      </c>
      <c r="O70" s="3" t="s">
        <v>288</v>
      </c>
      <c r="P70">
        <v>3</v>
      </c>
      <c r="Q70" s="3" t="s">
        <v>288</v>
      </c>
      <c r="R70" s="3" t="s">
        <v>288</v>
      </c>
      <c r="S70" s="3" t="s">
        <v>288</v>
      </c>
      <c r="T70" s="3" t="s">
        <v>423</v>
      </c>
      <c r="U70">
        <v>179</v>
      </c>
      <c r="V70" s="3" t="s">
        <v>139</v>
      </c>
      <c r="W70" s="3" t="s">
        <v>17</v>
      </c>
      <c r="X70" s="3" t="s">
        <v>53</v>
      </c>
      <c r="Y70" s="3" t="s">
        <v>20</v>
      </c>
      <c r="Z70" s="3" t="s">
        <v>41</v>
      </c>
      <c r="AA70" s="3" t="s">
        <v>425</v>
      </c>
      <c r="AB70" s="3" t="s">
        <v>328</v>
      </c>
      <c r="AC70" s="3" t="s">
        <v>485</v>
      </c>
      <c r="AD70" s="3" t="s">
        <v>482</v>
      </c>
      <c r="AE70" s="3" t="s">
        <v>435</v>
      </c>
      <c r="AF70" s="3" t="s">
        <v>288</v>
      </c>
      <c r="AG70" s="11">
        <v>45948.76666666667</v>
      </c>
      <c r="AH70" s="11">
        <v>45950.762499999997</v>
      </c>
      <c r="AI70" s="10">
        <v>45953</v>
      </c>
      <c r="AJ70">
        <v>1</v>
      </c>
      <c r="AK70" s="3" t="s">
        <v>428</v>
      </c>
      <c r="AL70" s="3" t="s">
        <v>437</v>
      </c>
    </row>
    <row r="71" spans="1:38" x14ac:dyDescent="0.25">
      <c r="A71" s="3" t="s">
        <v>212</v>
      </c>
      <c r="B71" s="3" t="s">
        <v>404</v>
      </c>
      <c r="C71" s="3" t="s">
        <v>213</v>
      </c>
      <c r="D71" s="3" t="s">
        <v>599</v>
      </c>
      <c r="E71" s="3" t="s">
        <v>97</v>
      </c>
      <c r="F71" s="3" t="s">
        <v>24</v>
      </c>
      <c r="G71" s="3" t="s">
        <v>406</v>
      </c>
      <c r="H71" s="11">
        <v>45949.368055555555</v>
      </c>
      <c r="I71" s="11">
        <v>45950.161111111112</v>
      </c>
      <c r="J71" s="11">
        <v>45950.161111111112</v>
      </c>
      <c r="K71" s="3" t="s">
        <v>19</v>
      </c>
      <c r="L71" s="3" t="s">
        <v>526</v>
      </c>
      <c r="M71" s="3" t="s">
        <v>557</v>
      </c>
      <c r="N71" s="3" t="s">
        <v>442</v>
      </c>
      <c r="O71" s="3" t="s">
        <v>288</v>
      </c>
      <c r="P71">
        <v>0</v>
      </c>
      <c r="Q71" s="3" t="s">
        <v>410</v>
      </c>
      <c r="R71" s="3" t="s">
        <v>480</v>
      </c>
      <c r="S71" s="3" t="s">
        <v>288</v>
      </c>
      <c r="T71" s="3" t="s">
        <v>423</v>
      </c>
      <c r="U71">
        <v>207</v>
      </c>
      <c r="V71" s="3" t="s">
        <v>139</v>
      </c>
      <c r="W71" s="3" t="s">
        <v>17</v>
      </c>
      <c r="X71" s="3" t="s">
        <v>33</v>
      </c>
      <c r="Y71" s="3" t="s">
        <v>40</v>
      </c>
      <c r="Z71" s="3" t="s">
        <v>47</v>
      </c>
      <c r="AA71" s="3" t="s">
        <v>458</v>
      </c>
      <c r="AB71" s="3" t="s">
        <v>334</v>
      </c>
      <c r="AC71" s="3" t="s">
        <v>288</v>
      </c>
      <c r="AD71" s="3" t="s">
        <v>426</v>
      </c>
      <c r="AE71" s="3" t="s">
        <v>494</v>
      </c>
      <c r="AF71" s="3" t="s">
        <v>600</v>
      </c>
      <c r="AG71" s="11">
        <v>45949.368055555555</v>
      </c>
      <c r="AH71" s="11">
        <v>45950.161111111112</v>
      </c>
      <c r="AI71" s="10"/>
      <c r="AJ71">
        <v>2</v>
      </c>
      <c r="AK71" s="3" t="s">
        <v>428</v>
      </c>
      <c r="AL71" s="3" t="s">
        <v>416</v>
      </c>
    </row>
    <row r="72" spans="1:38" x14ac:dyDescent="0.25">
      <c r="A72" s="3" t="s">
        <v>214</v>
      </c>
      <c r="B72" s="3" t="s">
        <v>446</v>
      </c>
      <c r="C72" s="3" t="s">
        <v>215</v>
      </c>
      <c r="D72" s="3" t="s">
        <v>601</v>
      </c>
      <c r="E72" s="3" t="s">
        <v>113</v>
      </c>
      <c r="F72" s="3" t="s">
        <v>15</v>
      </c>
      <c r="G72" s="3" t="s">
        <v>288</v>
      </c>
      <c r="H72" s="11">
        <v>45950.524305555555</v>
      </c>
      <c r="I72" s="11">
        <v>45951.565972222219</v>
      </c>
      <c r="J72" s="11"/>
      <c r="K72" s="3" t="s">
        <v>34</v>
      </c>
      <c r="L72" s="3" t="s">
        <v>419</v>
      </c>
      <c r="M72" s="3" t="s">
        <v>288</v>
      </c>
      <c r="N72" s="3" t="s">
        <v>508</v>
      </c>
      <c r="O72" s="3" t="s">
        <v>500</v>
      </c>
      <c r="P72">
        <v>2</v>
      </c>
      <c r="Q72" s="3" t="s">
        <v>410</v>
      </c>
      <c r="R72" s="3" t="s">
        <v>288</v>
      </c>
      <c r="S72" s="3" t="s">
        <v>288</v>
      </c>
      <c r="T72" s="3" t="s">
        <v>288</v>
      </c>
      <c r="V72" s="3" t="s">
        <v>32</v>
      </c>
      <c r="W72" s="3" t="s">
        <v>17</v>
      </c>
      <c r="X72" s="3" t="s">
        <v>18</v>
      </c>
      <c r="Y72" s="3" t="s">
        <v>110</v>
      </c>
      <c r="Z72" s="3" t="s">
        <v>21</v>
      </c>
      <c r="AA72" s="3" t="s">
        <v>425</v>
      </c>
      <c r="AB72" s="3" t="s">
        <v>288</v>
      </c>
      <c r="AC72" s="3" t="s">
        <v>288</v>
      </c>
      <c r="AD72" s="3" t="s">
        <v>482</v>
      </c>
      <c r="AE72" s="3" t="s">
        <v>494</v>
      </c>
      <c r="AF72" s="3" t="s">
        <v>288</v>
      </c>
      <c r="AG72" s="11">
        <v>45950.524305555555</v>
      </c>
      <c r="AH72" s="11"/>
      <c r="AI72" s="10"/>
      <c r="AJ72">
        <v>2</v>
      </c>
      <c r="AK72" s="3" t="s">
        <v>415</v>
      </c>
      <c r="AL72" s="3" t="s">
        <v>454</v>
      </c>
    </row>
    <row r="73" spans="1:38" x14ac:dyDescent="0.25">
      <c r="A73" s="3" t="s">
        <v>216</v>
      </c>
      <c r="B73" s="3" t="s">
        <v>404</v>
      </c>
      <c r="C73" s="3" t="s">
        <v>217</v>
      </c>
      <c r="D73" s="3" t="s">
        <v>602</v>
      </c>
      <c r="E73" s="3" t="s">
        <v>14</v>
      </c>
      <c r="F73" s="3" t="s">
        <v>24</v>
      </c>
      <c r="G73" s="3" t="s">
        <v>406</v>
      </c>
      <c r="H73" s="11">
        <v>45950.552083333336</v>
      </c>
      <c r="I73" s="11">
        <v>45951.081250000003</v>
      </c>
      <c r="J73" s="11">
        <v>45951.081250000003</v>
      </c>
      <c r="K73" s="3" t="s">
        <v>19</v>
      </c>
      <c r="L73" s="3" t="s">
        <v>440</v>
      </c>
      <c r="M73" s="3" t="s">
        <v>489</v>
      </c>
      <c r="N73" s="3" t="s">
        <v>511</v>
      </c>
      <c r="O73" s="3" t="s">
        <v>443</v>
      </c>
      <c r="P73">
        <v>3</v>
      </c>
      <c r="Q73" s="3" t="s">
        <v>422</v>
      </c>
      <c r="R73" s="3" t="s">
        <v>288</v>
      </c>
      <c r="S73" s="3" t="s">
        <v>288</v>
      </c>
      <c r="T73" s="3" t="s">
        <v>423</v>
      </c>
      <c r="U73">
        <v>169</v>
      </c>
      <c r="V73" s="3" t="s">
        <v>209</v>
      </c>
      <c r="W73" s="3" t="s">
        <v>17</v>
      </c>
      <c r="X73" s="3" t="s">
        <v>53</v>
      </c>
      <c r="Y73" s="3" t="s">
        <v>28</v>
      </c>
      <c r="Z73" s="3" t="s">
        <v>41</v>
      </c>
      <c r="AA73" s="3" t="s">
        <v>458</v>
      </c>
      <c r="AB73" s="3" t="s">
        <v>335</v>
      </c>
      <c r="AC73" s="3" t="s">
        <v>288</v>
      </c>
      <c r="AD73" s="3" t="s">
        <v>426</v>
      </c>
      <c r="AE73" s="3" t="s">
        <v>414</v>
      </c>
      <c r="AF73" s="3" t="s">
        <v>603</v>
      </c>
      <c r="AG73" s="11">
        <v>45950.552083333336</v>
      </c>
      <c r="AH73" s="11">
        <v>45951.081250000003</v>
      </c>
      <c r="AI73" s="10">
        <v>45955</v>
      </c>
      <c r="AJ73">
        <v>3</v>
      </c>
      <c r="AK73" s="3" t="s">
        <v>428</v>
      </c>
      <c r="AL73" s="3" t="s">
        <v>437</v>
      </c>
    </row>
    <row r="74" spans="1:38" x14ac:dyDescent="0.25">
      <c r="A74" s="3" t="s">
        <v>218</v>
      </c>
      <c r="B74" s="3" t="s">
        <v>446</v>
      </c>
      <c r="C74" s="3" t="s">
        <v>219</v>
      </c>
      <c r="D74" s="3" t="s">
        <v>604</v>
      </c>
      <c r="E74" s="3" t="s">
        <v>14</v>
      </c>
      <c r="F74" s="3" t="s">
        <v>15</v>
      </c>
      <c r="G74" s="3" t="s">
        <v>406</v>
      </c>
      <c r="H74" s="11">
        <v>45950.784722222219</v>
      </c>
      <c r="I74" s="11">
        <v>45951.162499999999</v>
      </c>
      <c r="J74" s="11">
        <v>45951.162499999999</v>
      </c>
      <c r="K74" s="3" t="s">
        <v>72</v>
      </c>
      <c r="L74" s="3" t="s">
        <v>529</v>
      </c>
      <c r="M74" s="3" t="s">
        <v>605</v>
      </c>
      <c r="N74" s="3" t="s">
        <v>606</v>
      </c>
      <c r="O74" s="3" t="s">
        <v>288</v>
      </c>
      <c r="P74">
        <v>0</v>
      </c>
      <c r="Q74" s="3" t="s">
        <v>410</v>
      </c>
      <c r="R74" s="3" t="s">
        <v>433</v>
      </c>
      <c r="S74" s="3" t="s">
        <v>288</v>
      </c>
      <c r="T74" s="3" t="s">
        <v>423</v>
      </c>
      <c r="U74">
        <v>413</v>
      </c>
      <c r="V74" s="3" t="s">
        <v>220</v>
      </c>
      <c r="W74" s="3" t="s">
        <v>17</v>
      </c>
      <c r="X74" s="3" t="s">
        <v>18</v>
      </c>
      <c r="Y74" s="3" t="s">
        <v>28</v>
      </c>
      <c r="Z74" s="3" t="s">
        <v>47</v>
      </c>
      <c r="AA74" s="3" t="s">
        <v>458</v>
      </c>
      <c r="AB74" s="3" t="s">
        <v>336</v>
      </c>
      <c r="AC74" s="3" t="s">
        <v>288</v>
      </c>
      <c r="AD74" s="3" t="s">
        <v>426</v>
      </c>
      <c r="AE74" s="3" t="s">
        <v>483</v>
      </c>
      <c r="AF74" s="3" t="s">
        <v>288</v>
      </c>
      <c r="AG74" s="11">
        <v>45950.784722222219</v>
      </c>
      <c r="AH74" s="11">
        <v>45951.162499999999</v>
      </c>
      <c r="AI74" s="10">
        <v>45951</v>
      </c>
      <c r="AJ74">
        <v>2</v>
      </c>
      <c r="AK74" s="3" t="s">
        <v>428</v>
      </c>
      <c r="AL74" s="3" t="s">
        <v>437</v>
      </c>
    </row>
    <row r="75" spans="1:38" x14ac:dyDescent="0.25">
      <c r="A75" s="3" t="s">
        <v>221</v>
      </c>
      <c r="B75" s="3" t="s">
        <v>446</v>
      </c>
      <c r="C75" s="3" t="s">
        <v>222</v>
      </c>
      <c r="D75" s="3" t="s">
        <v>607</v>
      </c>
      <c r="E75" s="3" t="s">
        <v>14</v>
      </c>
      <c r="F75" s="3" t="s">
        <v>85</v>
      </c>
      <c r="G75" s="3" t="s">
        <v>406</v>
      </c>
      <c r="H75" s="11">
        <v>45951.462500000001</v>
      </c>
      <c r="I75" s="11">
        <v>45951.710416666669</v>
      </c>
      <c r="J75" s="11">
        <v>45951.710416666669</v>
      </c>
      <c r="K75" s="3" t="s">
        <v>19</v>
      </c>
      <c r="L75" s="3" t="s">
        <v>407</v>
      </c>
      <c r="M75" s="3" t="s">
        <v>586</v>
      </c>
      <c r="N75" s="3" t="s">
        <v>608</v>
      </c>
      <c r="O75" s="3" t="s">
        <v>288</v>
      </c>
      <c r="P75">
        <v>2</v>
      </c>
      <c r="Q75" s="3" t="s">
        <v>410</v>
      </c>
      <c r="R75" s="3" t="s">
        <v>288</v>
      </c>
      <c r="S75" s="3" t="s">
        <v>288</v>
      </c>
      <c r="T75" s="3" t="s">
        <v>423</v>
      </c>
      <c r="U75">
        <v>430</v>
      </c>
      <c r="V75" s="3" t="s">
        <v>37</v>
      </c>
      <c r="W75" s="3" t="s">
        <v>26</v>
      </c>
      <c r="X75" s="3" t="s">
        <v>33</v>
      </c>
      <c r="Y75" s="3" t="s">
        <v>102</v>
      </c>
      <c r="Z75" s="3" t="s">
        <v>41</v>
      </c>
      <c r="AA75" s="3" t="s">
        <v>425</v>
      </c>
      <c r="AB75" s="3" t="s">
        <v>337</v>
      </c>
      <c r="AC75" s="3" t="s">
        <v>452</v>
      </c>
      <c r="AD75" s="3" t="s">
        <v>482</v>
      </c>
      <c r="AE75" s="3" t="s">
        <v>445</v>
      </c>
      <c r="AF75" s="3" t="s">
        <v>288</v>
      </c>
      <c r="AG75" s="11">
        <v>45951.462500000001</v>
      </c>
      <c r="AH75" s="11">
        <v>45951.710416666669</v>
      </c>
      <c r="AI75" s="10">
        <v>45957</v>
      </c>
      <c r="AJ75">
        <v>0</v>
      </c>
      <c r="AK75" s="3" t="s">
        <v>415</v>
      </c>
      <c r="AL75" s="3" t="s">
        <v>416</v>
      </c>
    </row>
    <row r="76" spans="1:38" x14ac:dyDescent="0.25">
      <c r="A76" s="3" t="s">
        <v>223</v>
      </c>
      <c r="B76" s="3" t="s">
        <v>404</v>
      </c>
      <c r="C76" s="3" t="s">
        <v>224</v>
      </c>
      <c r="D76" s="3" t="s">
        <v>609</v>
      </c>
      <c r="E76" s="3" t="s">
        <v>14</v>
      </c>
      <c r="F76" s="3" t="s">
        <v>24</v>
      </c>
      <c r="G76" s="3" t="s">
        <v>406</v>
      </c>
      <c r="H76" s="11">
        <v>45951.620138888888</v>
      </c>
      <c r="I76" s="11">
        <v>45951.676388888889</v>
      </c>
      <c r="J76" s="11">
        <v>45951.676388888889</v>
      </c>
      <c r="K76" s="3" t="s">
        <v>72</v>
      </c>
      <c r="L76" s="3" t="s">
        <v>569</v>
      </c>
      <c r="M76" s="3" t="s">
        <v>566</v>
      </c>
      <c r="N76" s="3" t="s">
        <v>606</v>
      </c>
      <c r="O76" s="3" t="s">
        <v>288</v>
      </c>
      <c r="P76">
        <v>3</v>
      </c>
      <c r="Q76" s="3" t="s">
        <v>422</v>
      </c>
      <c r="R76" s="3" t="s">
        <v>423</v>
      </c>
      <c r="S76" s="3" t="s">
        <v>288</v>
      </c>
      <c r="T76" s="3" t="s">
        <v>423</v>
      </c>
      <c r="U76">
        <v>190</v>
      </c>
      <c r="V76" s="3" t="s">
        <v>139</v>
      </c>
      <c r="W76" s="3" t="s">
        <v>17</v>
      </c>
      <c r="X76" s="3" t="s">
        <v>71</v>
      </c>
      <c r="Y76" s="3" t="s">
        <v>40</v>
      </c>
      <c r="Z76" s="3" t="s">
        <v>29</v>
      </c>
      <c r="AA76" s="3" t="s">
        <v>412</v>
      </c>
      <c r="AB76" s="3" t="s">
        <v>338</v>
      </c>
      <c r="AC76" s="3" t="s">
        <v>288</v>
      </c>
      <c r="AD76" s="3" t="s">
        <v>460</v>
      </c>
      <c r="AE76" s="3" t="s">
        <v>490</v>
      </c>
      <c r="AF76" s="3" t="s">
        <v>288</v>
      </c>
      <c r="AG76" s="11">
        <v>45951.620138888888</v>
      </c>
      <c r="AH76" s="11">
        <v>45951.676388888889</v>
      </c>
      <c r="AI76" s="10">
        <v>45952</v>
      </c>
      <c r="AJ76">
        <v>3</v>
      </c>
      <c r="AK76" s="3" t="s">
        <v>415</v>
      </c>
      <c r="AL76" s="3" t="s">
        <v>437</v>
      </c>
    </row>
    <row r="77" spans="1:38" x14ac:dyDescent="0.25">
      <c r="A77" s="3" t="s">
        <v>225</v>
      </c>
      <c r="B77" s="3" t="s">
        <v>404</v>
      </c>
      <c r="C77" s="3" t="s">
        <v>226</v>
      </c>
      <c r="D77" s="3" t="s">
        <v>610</v>
      </c>
      <c r="E77" s="3" t="s">
        <v>14</v>
      </c>
      <c r="F77" s="3" t="s">
        <v>24</v>
      </c>
      <c r="G77" s="3" t="s">
        <v>406</v>
      </c>
      <c r="H77" s="11">
        <v>45951.689583333333</v>
      </c>
      <c r="I77" s="11">
        <v>45952.102083333331</v>
      </c>
      <c r="J77" s="11">
        <v>45952.102083333331</v>
      </c>
      <c r="K77" s="3" t="s">
        <v>72</v>
      </c>
      <c r="L77" s="3" t="s">
        <v>578</v>
      </c>
      <c r="M77" s="3" t="s">
        <v>559</v>
      </c>
      <c r="N77" s="3" t="s">
        <v>463</v>
      </c>
      <c r="O77" s="3" t="s">
        <v>536</v>
      </c>
      <c r="P77">
        <v>2</v>
      </c>
      <c r="Q77" s="3" t="s">
        <v>410</v>
      </c>
      <c r="R77" s="3" t="s">
        <v>288</v>
      </c>
      <c r="S77" s="3" t="s">
        <v>288</v>
      </c>
      <c r="T77" s="3" t="s">
        <v>424</v>
      </c>
      <c r="U77">
        <v>268</v>
      </c>
      <c r="V77" s="3" t="s">
        <v>16</v>
      </c>
      <c r="W77" s="3" t="s">
        <v>17</v>
      </c>
      <c r="X77" s="3" t="s">
        <v>124</v>
      </c>
      <c r="Y77" s="3" t="s">
        <v>60</v>
      </c>
      <c r="Z77" s="3" t="s">
        <v>47</v>
      </c>
      <c r="AA77" s="3" t="s">
        <v>412</v>
      </c>
      <c r="AB77" s="3" t="s">
        <v>339</v>
      </c>
      <c r="AC77" s="3" t="s">
        <v>288</v>
      </c>
      <c r="AD77" s="3" t="s">
        <v>460</v>
      </c>
      <c r="AE77" s="3" t="s">
        <v>494</v>
      </c>
      <c r="AF77" s="3" t="s">
        <v>288</v>
      </c>
      <c r="AG77" s="11">
        <v>45951.689583333333</v>
      </c>
      <c r="AH77" s="11">
        <v>45952.102083333331</v>
      </c>
      <c r="AI77" s="10"/>
      <c r="AJ77">
        <v>1</v>
      </c>
      <c r="AK77" s="3" t="s">
        <v>436</v>
      </c>
      <c r="AL77" s="3" t="s">
        <v>416</v>
      </c>
    </row>
    <row r="78" spans="1:38" x14ac:dyDescent="0.25">
      <c r="A78" s="3" t="s">
        <v>227</v>
      </c>
      <c r="B78" s="3" t="s">
        <v>438</v>
      </c>
      <c r="C78" s="3" t="s">
        <v>228</v>
      </c>
      <c r="D78" s="3" t="s">
        <v>611</v>
      </c>
      <c r="E78" s="3" t="s">
        <v>14</v>
      </c>
      <c r="F78" s="3" t="s">
        <v>24</v>
      </c>
      <c r="G78" s="3" t="s">
        <v>406</v>
      </c>
      <c r="H78" s="11">
        <v>45952.474999999999</v>
      </c>
      <c r="I78" s="11">
        <v>45953.365972222222</v>
      </c>
      <c r="J78" s="11">
        <v>45953.365972222222</v>
      </c>
      <c r="K78" s="3" t="s">
        <v>34</v>
      </c>
      <c r="L78" s="3" t="s">
        <v>418</v>
      </c>
      <c r="M78" s="3" t="s">
        <v>526</v>
      </c>
      <c r="N78" s="3" t="s">
        <v>463</v>
      </c>
      <c r="O78" s="3" t="s">
        <v>539</v>
      </c>
      <c r="P78">
        <v>3</v>
      </c>
      <c r="Q78" s="3" t="s">
        <v>288</v>
      </c>
      <c r="R78" s="3" t="s">
        <v>288</v>
      </c>
      <c r="S78" s="3" t="s">
        <v>288</v>
      </c>
      <c r="T78" s="3" t="s">
        <v>451</v>
      </c>
      <c r="U78">
        <v>176</v>
      </c>
      <c r="V78" s="3" t="s">
        <v>91</v>
      </c>
      <c r="W78" s="3" t="s">
        <v>26</v>
      </c>
      <c r="X78" s="3" t="s">
        <v>45</v>
      </c>
      <c r="Y78" s="3" t="s">
        <v>67</v>
      </c>
      <c r="Z78" s="3" t="s">
        <v>29</v>
      </c>
      <c r="AA78" s="3" t="s">
        <v>412</v>
      </c>
      <c r="AB78" s="3" t="s">
        <v>340</v>
      </c>
      <c r="AC78" s="3" t="s">
        <v>288</v>
      </c>
      <c r="AD78" s="3" t="s">
        <v>434</v>
      </c>
      <c r="AE78" s="3" t="s">
        <v>445</v>
      </c>
      <c r="AF78" s="3" t="s">
        <v>288</v>
      </c>
      <c r="AG78" s="11">
        <v>45952.474999999999</v>
      </c>
      <c r="AH78" s="11">
        <v>45953.365972222222</v>
      </c>
      <c r="AI78" s="10"/>
      <c r="AJ78">
        <v>0</v>
      </c>
      <c r="AK78" s="3" t="s">
        <v>436</v>
      </c>
      <c r="AL78" s="3" t="s">
        <v>454</v>
      </c>
    </row>
    <row r="79" spans="1:38" x14ac:dyDescent="0.25">
      <c r="A79" s="3" t="s">
        <v>229</v>
      </c>
      <c r="B79" s="3" t="s">
        <v>404</v>
      </c>
      <c r="C79" s="3" t="s">
        <v>230</v>
      </c>
      <c r="D79" s="3" t="s">
        <v>612</v>
      </c>
      <c r="E79" s="3" t="s">
        <v>58</v>
      </c>
      <c r="F79" s="3" t="s">
        <v>15</v>
      </c>
      <c r="G79" s="3" t="s">
        <v>288</v>
      </c>
      <c r="H79" s="11">
        <v>45952.743750000001</v>
      </c>
      <c r="I79" s="11">
        <v>45952.993750000001</v>
      </c>
      <c r="J79" s="11"/>
      <c r="K79" s="3" t="s">
        <v>34</v>
      </c>
      <c r="L79" s="3" t="s">
        <v>419</v>
      </c>
      <c r="M79" s="3" t="s">
        <v>288</v>
      </c>
      <c r="N79" s="3" t="s">
        <v>613</v>
      </c>
      <c r="O79" s="3" t="s">
        <v>475</v>
      </c>
      <c r="P79">
        <v>2</v>
      </c>
      <c r="Q79" s="3" t="s">
        <v>410</v>
      </c>
      <c r="R79" s="3" t="s">
        <v>288</v>
      </c>
      <c r="S79" s="3" t="s">
        <v>288</v>
      </c>
      <c r="T79" s="3" t="s">
        <v>288</v>
      </c>
      <c r="V79" s="3" t="s">
        <v>220</v>
      </c>
      <c r="W79" s="3" t="s">
        <v>17</v>
      </c>
      <c r="X79" s="3" t="s">
        <v>33</v>
      </c>
      <c r="Y79" s="3" t="s">
        <v>28</v>
      </c>
      <c r="Z79" s="3" t="s">
        <v>29</v>
      </c>
      <c r="AA79" s="3" t="s">
        <v>458</v>
      </c>
      <c r="AB79" s="3" t="s">
        <v>288</v>
      </c>
      <c r="AC79" s="3" t="s">
        <v>288</v>
      </c>
      <c r="AD79" s="3" t="s">
        <v>434</v>
      </c>
      <c r="AE79" s="3" t="s">
        <v>524</v>
      </c>
      <c r="AF79" s="3" t="s">
        <v>288</v>
      </c>
      <c r="AG79" s="11">
        <v>45952.743750000001</v>
      </c>
      <c r="AH79" s="11"/>
      <c r="AI79" s="10"/>
      <c r="AJ79">
        <v>2</v>
      </c>
      <c r="AK79" s="3" t="s">
        <v>436</v>
      </c>
      <c r="AL79" s="3" t="s">
        <v>437</v>
      </c>
    </row>
    <row r="80" spans="1:38" x14ac:dyDescent="0.25">
      <c r="A80" s="3" t="s">
        <v>231</v>
      </c>
      <c r="B80" s="3" t="s">
        <v>446</v>
      </c>
      <c r="C80" s="3" t="s">
        <v>232</v>
      </c>
      <c r="D80" s="3" t="s">
        <v>614</v>
      </c>
      <c r="E80" s="3" t="s">
        <v>113</v>
      </c>
      <c r="F80" s="3" t="s">
        <v>24</v>
      </c>
      <c r="G80" s="3" t="s">
        <v>288</v>
      </c>
      <c r="H80" s="11">
        <v>45952.774305555555</v>
      </c>
      <c r="I80" s="11">
        <v>45954.232638888891</v>
      </c>
      <c r="J80" s="11"/>
      <c r="K80" s="3" t="s">
        <v>54</v>
      </c>
      <c r="L80" s="3" t="s">
        <v>430</v>
      </c>
      <c r="M80" s="3" t="s">
        <v>288</v>
      </c>
      <c r="N80" s="3" t="s">
        <v>463</v>
      </c>
      <c r="O80" s="3" t="s">
        <v>288</v>
      </c>
      <c r="P80">
        <v>0</v>
      </c>
      <c r="Q80" s="3" t="s">
        <v>288</v>
      </c>
      <c r="R80" s="3" t="s">
        <v>288</v>
      </c>
      <c r="S80" s="3" t="s">
        <v>288</v>
      </c>
      <c r="T80" s="3" t="s">
        <v>288</v>
      </c>
      <c r="V80" s="3" t="s">
        <v>94</v>
      </c>
      <c r="W80" s="3" t="s">
        <v>17</v>
      </c>
      <c r="X80" s="3" t="s">
        <v>18</v>
      </c>
      <c r="Y80" s="3" t="s">
        <v>40</v>
      </c>
      <c r="Z80" s="3" t="s">
        <v>41</v>
      </c>
      <c r="AA80" s="3" t="s">
        <v>412</v>
      </c>
      <c r="AB80" s="3" t="s">
        <v>288</v>
      </c>
      <c r="AC80" s="3" t="s">
        <v>288</v>
      </c>
      <c r="AD80" s="3" t="s">
        <v>413</v>
      </c>
      <c r="AE80" s="3" t="s">
        <v>427</v>
      </c>
      <c r="AF80" s="3" t="s">
        <v>288</v>
      </c>
      <c r="AG80" s="11">
        <v>45952.774305555555</v>
      </c>
      <c r="AH80" s="11"/>
      <c r="AI80" s="10"/>
      <c r="AJ80">
        <v>1</v>
      </c>
      <c r="AK80" s="3" t="s">
        <v>428</v>
      </c>
      <c r="AL80" s="3" t="s">
        <v>454</v>
      </c>
    </row>
    <row r="81" spans="1:38" x14ac:dyDescent="0.25">
      <c r="A81" s="3" t="s">
        <v>233</v>
      </c>
      <c r="B81" s="3" t="s">
        <v>438</v>
      </c>
      <c r="C81" s="3" t="s">
        <v>234</v>
      </c>
      <c r="D81" s="3" t="s">
        <v>615</v>
      </c>
      <c r="E81" s="3" t="s">
        <v>14</v>
      </c>
      <c r="F81" s="3" t="s">
        <v>85</v>
      </c>
      <c r="G81" s="3" t="s">
        <v>406</v>
      </c>
      <c r="H81" s="11">
        <v>45953.529861111114</v>
      </c>
      <c r="I81" s="11">
        <v>45955.368750000001</v>
      </c>
      <c r="J81" s="11">
        <v>45955.368750000001</v>
      </c>
      <c r="K81" s="3" t="s">
        <v>19</v>
      </c>
      <c r="L81" s="3" t="s">
        <v>488</v>
      </c>
      <c r="M81" s="3" t="s">
        <v>529</v>
      </c>
      <c r="N81" s="3" t="s">
        <v>606</v>
      </c>
      <c r="O81" s="3" t="s">
        <v>500</v>
      </c>
      <c r="P81">
        <v>1</v>
      </c>
      <c r="Q81" s="3" t="s">
        <v>288</v>
      </c>
      <c r="R81" s="3" t="s">
        <v>288</v>
      </c>
      <c r="S81" s="3" t="s">
        <v>288</v>
      </c>
      <c r="T81" s="3" t="s">
        <v>424</v>
      </c>
      <c r="U81">
        <v>204</v>
      </c>
      <c r="V81" s="3" t="s">
        <v>25</v>
      </c>
      <c r="W81" s="3" t="s">
        <v>26</v>
      </c>
      <c r="X81" s="3" t="s">
        <v>38</v>
      </c>
      <c r="Y81" s="3" t="s">
        <v>67</v>
      </c>
      <c r="Z81" s="3" t="s">
        <v>41</v>
      </c>
      <c r="AA81" s="3" t="s">
        <v>425</v>
      </c>
      <c r="AB81" s="3" t="s">
        <v>341</v>
      </c>
      <c r="AC81" s="3" t="s">
        <v>485</v>
      </c>
      <c r="AD81" s="3" t="s">
        <v>482</v>
      </c>
      <c r="AE81" s="3" t="s">
        <v>435</v>
      </c>
      <c r="AF81" s="3" t="s">
        <v>288</v>
      </c>
      <c r="AG81" s="11">
        <v>45953.529861111114</v>
      </c>
      <c r="AH81" s="11">
        <v>45955.368750000001</v>
      </c>
      <c r="AI81" s="10"/>
      <c r="AJ81">
        <v>1</v>
      </c>
      <c r="AK81" s="3" t="s">
        <v>428</v>
      </c>
      <c r="AL81" s="3" t="s">
        <v>416</v>
      </c>
    </row>
    <row r="82" spans="1:38" x14ac:dyDescent="0.25">
      <c r="A82" s="3" t="s">
        <v>235</v>
      </c>
      <c r="B82" s="3" t="s">
        <v>404</v>
      </c>
      <c r="C82" s="3" t="s">
        <v>236</v>
      </c>
      <c r="D82" s="3" t="s">
        <v>616</v>
      </c>
      <c r="E82" s="3" t="s">
        <v>14</v>
      </c>
      <c r="F82" s="3" t="s">
        <v>24</v>
      </c>
      <c r="G82" s="3" t="s">
        <v>406</v>
      </c>
      <c r="H82" s="11">
        <v>45953.552083333336</v>
      </c>
      <c r="I82" s="11">
        <v>45953.956250000003</v>
      </c>
      <c r="J82" s="11">
        <v>45953.956250000003</v>
      </c>
      <c r="K82" s="3" t="s">
        <v>34</v>
      </c>
      <c r="L82" s="3" t="s">
        <v>462</v>
      </c>
      <c r="M82" s="3" t="s">
        <v>573</v>
      </c>
      <c r="N82" s="3" t="s">
        <v>457</v>
      </c>
      <c r="O82" s="3" t="s">
        <v>288</v>
      </c>
      <c r="P82">
        <v>0</v>
      </c>
      <c r="Q82" s="3" t="s">
        <v>288</v>
      </c>
      <c r="R82" s="3" t="s">
        <v>288</v>
      </c>
      <c r="S82" s="3" t="s">
        <v>288</v>
      </c>
      <c r="T82" s="3" t="s">
        <v>480</v>
      </c>
      <c r="U82">
        <v>480</v>
      </c>
      <c r="V82" s="3" t="s">
        <v>70</v>
      </c>
      <c r="W82" s="3" t="s">
        <v>17</v>
      </c>
      <c r="X82" s="3" t="s">
        <v>53</v>
      </c>
      <c r="Y82" s="3" t="s">
        <v>28</v>
      </c>
      <c r="Z82" s="3" t="s">
        <v>21</v>
      </c>
      <c r="AA82" s="3" t="s">
        <v>425</v>
      </c>
      <c r="AB82" s="3" t="s">
        <v>342</v>
      </c>
      <c r="AC82" s="3" t="s">
        <v>288</v>
      </c>
      <c r="AD82" s="3" t="s">
        <v>426</v>
      </c>
      <c r="AE82" s="3" t="s">
        <v>524</v>
      </c>
      <c r="AF82" s="3" t="s">
        <v>288</v>
      </c>
      <c r="AG82" s="11">
        <v>45953.552083333336</v>
      </c>
      <c r="AH82" s="11">
        <v>45953.956250000003</v>
      </c>
      <c r="AI82" s="10">
        <v>45958</v>
      </c>
      <c r="AJ82">
        <v>3</v>
      </c>
      <c r="AK82" s="3" t="s">
        <v>436</v>
      </c>
      <c r="AL82" s="3" t="s">
        <v>454</v>
      </c>
    </row>
    <row r="83" spans="1:38" x14ac:dyDescent="0.25">
      <c r="A83" s="3" t="s">
        <v>237</v>
      </c>
      <c r="B83" s="3" t="s">
        <v>438</v>
      </c>
      <c r="C83" s="3" t="s">
        <v>238</v>
      </c>
      <c r="D83" s="3" t="s">
        <v>617</v>
      </c>
      <c r="E83" s="3" t="s">
        <v>14</v>
      </c>
      <c r="F83" s="3" t="s">
        <v>15</v>
      </c>
      <c r="G83" s="3" t="s">
        <v>406</v>
      </c>
      <c r="H83" s="11">
        <v>45953.566666666666</v>
      </c>
      <c r="I83" s="11">
        <v>45955.116666666669</v>
      </c>
      <c r="J83" s="11">
        <v>45955.116666666669</v>
      </c>
      <c r="K83" s="3" t="s">
        <v>54</v>
      </c>
      <c r="L83" s="3" t="s">
        <v>502</v>
      </c>
      <c r="M83" s="3" t="s">
        <v>441</v>
      </c>
      <c r="N83" s="3" t="s">
        <v>493</v>
      </c>
      <c r="O83" s="3" t="s">
        <v>443</v>
      </c>
      <c r="P83">
        <v>0</v>
      </c>
      <c r="Q83" s="3" t="s">
        <v>422</v>
      </c>
      <c r="R83" s="3" t="s">
        <v>480</v>
      </c>
      <c r="S83" s="3" t="s">
        <v>288</v>
      </c>
      <c r="T83" s="3" t="s">
        <v>424</v>
      </c>
      <c r="U83">
        <v>460</v>
      </c>
      <c r="V83" s="3" t="s">
        <v>98</v>
      </c>
      <c r="W83" s="3" t="s">
        <v>26</v>
      </c>
      <c r="X83" s="3" t="s">
        <v>79</v>
      </c>
      <c r="Y83" s="3" t="s">
        <v>102</v>
      </c>
      <c r="Z83" s="3" t="s">
        <v>29</v>
      </c>
      <c r="AA83" s="3" t="s">
        <v>412</v>
      </c>
      <c r="AB83" s="3" t="s">
        <v>343</v>
      </c>
      <c r="AC83" s="3" t="s">
        <v>288</v>
      </c>
      <c r="AD83" s="3" t="s">
        <v>460</v>
      </c>
      <c r="AE83" s="3" t="s">
        <v>494</v>
      </c>
      <c r="AF83" s="3" t="s">
        <v>288</v>
      </c>
      <c r="AG83" s="11">
        <v>45953.566666666666</v>
      </c>
      <c r="AH83" s="11">
        <v>45955.116666666669</v>
      </c>
      <c r="AI83" s="10"/>
      <c r="AJ83">
        <v>3</v>
      </c>
      <c r="AK83" s="3" t="s">
        <v>428</v>
      </c>
      <c r="AL83" s="3" t="s">
        <v>437</v>
      </c>
    </row>
    <row r="84" spans="1:38" x14ac:dyDescent="0.25">
      <c r="A84" s="3" t="s">
        <v>239</v>
      </c>
      <c r="B84" s="3" t="s">
        <v>446</v>
      </c>
      <c r="C84" s="3" t="s">
        <v>240</v>
      </c>
      <c r="D84" s="3" t="s">
        <v>618</v>
      </c>
      <c r="E84" s="3" t="s">
        <v>97</v>
      </c>
      <c r="F84" s="3" t="s">
        <v>85</v>
      </c>
      <c r="G84" s="3" t="s">
        <v>406</v>
      </c>
      <c r="H84" s="11">
        <v>45953.694444444445</v>
      </c>
      <c r="I84" s="11">
        <v>45955.705555555556</v>
      </c>
      <c r="J84" s="11">
        <v>45955.705555555556</v>
      </c>
      <c r="K84" s="3" t="s">
        <v>72</v>
      </c>
      <c r="L84" s="3" t="s">
        <v>462</v>
      </c>
      <c r="M84" s="3" t="s">
        <v>440</v>
      </c>
      <c r="N84" s="3" t="s">
        <v>499</v>
      </c>
      <c r="O84" s="3" t="s">
        <v>288</v>
      </c>
      <c r="P84">
        <v>2</v>
      </c>
      <c r="Q84" s="3" t="s">
        <v>422</v>
      </c>
      <c r="R84" s="3" t="s">
        <v>480</v>
      </c>
      <c r="S84" s="3" t="s">
        <v>288</v>
      </c>
      <c r="T84" s="3" t="s">
        <v>451</v>
      </c>
      <c r="U84">
        <v>217</v>
      </c>
      <c r="V84" s="3" t="s">
        <v>76</v>
      </c>
      <c r="W84" s="3" t="s">
        <v>26</v>
      </c>
      <c r="X84" s="3" t="s">
        <v>121</v>
      </c>
      <c r="Y84" s="3" t="s">
        <v>67</v>
      </c>
      <c r="Z84" s="3" t="s">
        <v>29</v>
      </c>
      <c r="AA84" s="3" t="s">
        <v>425</v>
      </c>
      <c r="AB84" s="3" t="s">
        <v>344</v>
      </c>
      <c r="AC84" s="3" t="s">
        <v>481</v>
      </c>
      <c r="AD84" s="3" t="s">
        <v>413</v>
      </c>
      <c r="AE84" s="3" t="s">
        <v>427</v>
      </c>
      <c r="AF84" s="3" t="s">
        <v>288</v>
      </c>
      <c r="AG84" s="11">
        <v>45953.694444444445</v>
      </c>
      <c r="AH84" s="11">
        <v>45955.705555555556</v>
      </c>
      <c r="AI84" s="10"/>
      <c r="AJ84">
        <v>3</v>
      </c>
      <c r="AK84" s="3" t="s">
        <v>415</v>
      </c>
      <c r="AL84" s="3" t="s">
        <v>454</v>
      </c>
    </row>
    <row r="85" spans="1:38" x14ac:dyDescent="0.25">
      <c r="A85" s="3" t="s">
        <v>241</v>
      </c>
      <c r="B85" s="3" t="s">
        <v>404</v>
      </c>
      <c r="C85" s="3" t="s">
        <v>242</v>
      </c>
      <c r="D85" s="3" t="s">
        <v>619</v>
      </c>
      <c r="E85" s="3" t="s">
        <v>97</v>
      </c>
      <c r="F85" s="3" t="s">
        <v>24</v>
      </c>
      <c r="G85" s="3" t="s">
        <v>406</v>
      </c>
      <c r="H85" s="11">
        <v>45953.697222222225</v>
      </c>
      <c r="I85" s="11">
        <v>45955.398611111108</v>
      </c>
      <c r="J85" s="11">
        <v>45955.398611111108</v>
      </c>
      <c r="K85" s="3" t="s">
        <v>72</v>
      </c>
      <c r="L85" s="3" t="s">
        <v>489</v>
      </c>
      <c r="M85" s="3" t="s">
        <v>529</v>
      </c>
      <c r="N85" s="3" t="s">
        <v>479</v>
      </c>
      <c r="O85" s="3" t="s">
        <v>475</v>
      </c>
      <c r="P85">
        <v>2</v>
      </c>
      <c r="Q85" s="3" t="s">
        <v>410</v>
      </c>
      <c r="R85" s="3" t="s">
        <v>288</v>
      </c>
      <c r="S85" s="3" t="s">
        <v>288</v>
      </c>
      <c r="T85" s="3" t="s">
        <v>423</v>
      </c>
      <c r="U85">
        <v>227</v>
      </c>
      <c r="V85" s="3" t="s">
        <v>114</v>
      </c>
      <c r="W85" s="3" t="s">
        <v>26</v>
      </c>
      <c r="X85" s="3" t="s">
        <v>53</v>
      </c>
      <c r="Y85" s="3" t="s">
        <v>20</v>
      </c>
      <c r="Z85" s="3" t="s">
        <v>41</v>
      </c>
      <c r="AA85" s="3" t="s">
        <v>425</v>
      </c>
      <c r="AB85" s="3" t="s">
        <v>345</v>
      </c>
      <c r="AC85" s="3" t="s">
        <v>288</v>
      </c>
      <c r="AD85" s="3" t="s">
        <v>444</v>
      </c>
      <c r="AE85" s="3" t="s">
        <v>414</v>
      </c>
      <c r="AF85" s="3" t="s">
        <v>288</v>
      </c>
      <c r="AG85" s="11">
        <v>45953.697222222225</v>
      </c>
      <c r="AH85" s="11">
        <v>45955.398611111108</v>
      </c>
      <c r="AI85" s="10">
        <v>45955</v>
      </c>
      <c r="AJ85">
        <v>3</v>
      </c>
      <c r="AK85" s="3" t="s">
        <v>436</v>
      </c>
      <c r="AL85" s="3" t="s">
        <v>437</v>
      </c>
    </row>
    <row r="86" spans="1:38" x14ac:dyDescent="0.25">
      <c r="A86" s="3" t="s">
        <v>243</v>
      </c>
      <c r="B86" s="3" t="s">
        <v>438</v>
      </c>
      <c r="C86" s="3" t="s">
        <v>244</v>
      </c>
      <c r="D86" s="3" t="s">
        <v>620</v>
      </c>
      <c r="E86" s="3" t="s">
        <v>58</v>
      </c>
      <c r="F86" s="3" t="s">
        <v>24</v>
      </c>
      <c r="G86" s="3" t="s">
        <v>288</v>
      </c>
      <c r="H86" s="11">
        <v>45953.744444444441</v>
      </c>
      <c r="I86" s="11">
        <v>45954.952777777777</v>
      </c>
      <c r="J86" s="11"/>
      <c r="K86" s="3" t="s">
        <v>19</v>
      </c>
      <c r="L86" s="3" t="s">
        <v>575</v>
      </c>
      <c r="M86" s="3" t="s">
        <v>288</v>
      </c>
      <c r="N86" s="3" t="s">
        <v>606</v>
      </c>
      <c r="O86" s="3" t="s">
        <v>421</v>
      </c>
      <c r="P86">
        <v>2</v>
      </c>
      <c r="Q86" s="3" t="s">
        <v>410</v>
      </c>
      <c r="R86" s="3" t="s">
        <v>288</v>
      </c>
      <c r="S86" s="3" t="s">
        <v>288</v>
      </c>
      <c r="T86" s="3" t="s">
        <v>288</v>
      </c>
      <c r="V86" s="3" t="s">
        <v>25</v>
      </c>
      <c r="W86" s="3" t="s">
        <v>26</v>
      </c>
      <c r="X86" s="3" t="s">
        <v>45</v>
      </c>
      <c r="Y86" s="3" t="s">
        <v>102</v>
      </c>
      <c r="Z86" s="3" t="s">
        <v>29</v>
      </c>
      <c r="AA86" s="3" t="s">
        <v>412</v>
      </c>
      <c r="AB86" s="3" t="s">
        <v>288</v>
      </c>
      <c r="AC86" s="3" t="s">
        <v>288</v>
      </c>
      <c r="AD86" s="3" t="s">
        <v>413</v>
      </c>
      <c r="AE86" s="3" t="s">
        <v>435</v>
      </c>
      <c r="AF86" s="3" t="s">
        <v>288</v>
      </c>
      <c r="AG86" s="11">
        <v>45953.744444444441</v>
      </c>
      <c r="AH86" s="11"/>
      <c r="AI86" s="10"/>
      <c r="AJ86">
        <v>0</v>
      </c>
      <c r="AK86" s="3" t="s">
        <v>428</v>
      </c>
      <c r="AL86" s="3" t="s">
        <v>437</v>
      </c>
    </row>
    <row r="87" spans="1:38" x14ac:dyDescent="0.25">
      <c r="A87" s="3" t="s">
        <v>245</v>
      </c>
      <c r="B87" s="3" t="s">
        <v>438</v>
      </c>
      <c r="C87" s="3" t="s">
        <v>246</v>
      </c>
      <c r="D87" s="3" t="s">
        <v>621</v>
      </c>
      <c r="E87" s="3" t="s">
        <v>97</v>
      </c>
      <c r="F87" s="3" t="s">
        <v>15</v>
      </c>
      <c r="G87" s="3" t="s">
        <v>406</v>
      </c>
      <c r="H87" s="11">
        <v>45953.752083333333</v>
      </c>
      <c r="I87" s="11">
        <v>45954.811805555553</v>
      </c>
      <c r="J87" s="11">
        <v>45954.811805555553</v>
      </c>
      <c r="K87" s="3" t="s">
        <v>19</v>
      </c>
      <c r="L87" s="3" t="s">
        <v>541</v>
      </c>
      <c r="M87" s="3" t="s">
        <v>622</v>
      </c>
      <c r="N87" s="3" t="s">
        <v>479</v>
      </c>
      <c r="O87" s="3" t="s">
        <v>500</v>
      </c>
      <c r="P87">
        <v>1</v>
      </c>
      <c r="Q87" s="3" t="s">
        <v>288</v>
      </c>
      <c r="R87" s="3" t="s">
        <v>288</v>
      </c>
      <c r="S87" s="3" t="s">
        <v>288</v>
      </c>
      <c r="T87" s="3" t="s">
        <v>424</v>
      </c>
      <c r="U87">
        <v>102</v>
      </c>
      <c r="V87" s="3" t="s">
        <v>247</v>
      </c>
      <c r="W87" s="3" t="s">
        <v>26</v>
      </c>
      <c r="X87" s="3" t="s">
        <v>38</v>
      </c>
      <c r="Y87" s="3" t="s">
        <v>28</v>
      </c>
      <c r="Z87" s="3" t="s">
        <v>47</v>
      </c>
      <c r="AA87" s="3" t="s">
        <v>458</v>
      </c>
      <c r="AB87" s="3" t="s">
        <v>346</v>
      </c>
      <c r="AC87" s="3" t="s">
        <v>452</v>
      </c>
      <c r="AD87" s="3" t="s">
        <v>444</v>
      </c>
      <c r="AE87" s="3" t="s">
        <v>445</v>
      </c>
      <c r="AF87" s="3" t="s">
        <v>288</v>
      </c>
      <c r="AG87" s="11">
        <v>45953.752083333333</v>
      </c>
      <c r="AH87" s="11">
        <v>45954.811805555553</v>
      </c>
      <c r="AI87" s="10">
        <v>45959</v>
      </c>
      <c r="AJ87">
        <v>2</v>
      </c>
      <c r="AK87" s="3" t="s">
        <v>436</v>
      </c>
      <c r="AL87" s="3" t="s">
        <v>416</v>
      </c>
    </row>
    <row r="88" spans="1:38" x14ac:dyDescent="0.25">
      <c r="A88" s="3" t="s">
        <v>248</v>
      </c>
      <c r="B88" s="3" t="s">
        <v>404</v>
      </c>
      <c r="C88" s="3" t="s">
        <v>249</v>
      </c>
      <c r="D88" s="3" t="s">
        <v>623</v>
      </c>
      <c r="E88" s="3" t="s">
        <v>58</v>
      </c>
      <c r="F88" s="3" t="s">
        <v>15</v>
      </c>
      <c r="G88" s="3" t="s">
        <v>288</v>
      </c>
      <c r="H88" s="11">
        <v>45954.71875</v>
      </c>
      <c r="I88" s="11">
        <v>45957.552083333336</v>
      </c>
      <c r="J88" s="11"/>
      <c r="K88" s="3" t="s">
        <v>72</v>
      </c>
      <c r="L88" s="3" t="s">
        <v>430</v>
      </c>
      <c r="M88" s="3" t="s">
        <v>288</v>
      </c>
      <c r="N88" s="3" t="s">
        <v>595</v>
      </c>
      <c r="O88" s="3" t="s">
        <v>288</v>
      </c>
      <c r="P88">
        <v>0</v>
      </c>
      <c r="Q88" s="3" t="s">
        <v>288</v>
      </c>
      <c r="R88" s="3" t="s">
        <v>288</v>
      </c>
      <c r="S88" s="3" t="s">
        <v>288</v>
      </c>
      <c r="T88" s="3" t="s">
        <v>288</v>
      </c>
      <c r="V88" s="3" t="s">
        <v>94</v>
      </c>
      <c r="W88" s="3" t="s">
        <v>17</v>
      </c>
      <c r="X88" s="3" t="s">
        <v>18</v>
      </c>
      <c r="Y88" s="3" t="s">
        <v>46</v>
      </c>
      <c r="Z88" s="3" t="s">
        <v>21</v>
      </c>
      <c r="AA88" s="3" t="s">
        <v>412</v>
      </c>
      <c r="AB88" s="3" t="s">
        <v>288</v>
      </c>
      <c r="AC88" s="3" t="s">
        <v>464</v>
      </c>
      <c r="AD88" s="3" t="s">
        <v>434</v>
      </c>
      <c r="AE88" s="3" t="s">
        <v>445</v>
      </c>
      <c r="AF88" s="3" t="s">
        <v>624</v>
      </c>
      <c r="AG88" s="11">
        <v>45954.71875</v>
      </c>
      <c r="AH88" s="11"/>
      <c r="AI88" s="10"/>
      <c r="AJ88">
        <v>0</v>
      </c>
      <c r="AK88" s="3" t="s">
        <v>436</v>
      </c>
      <c r="AL88" s="3" t="s">
        <v>437</v>
      </c>
    </row>
    <row r="89" spans="1:38" x14ac:dyDescent="0.25">
      <c r="A89" s="3" t="s">
        <v>250</v>
      </c>
      <c r="B89" s="3" t="s">
        <v>404</v>
      </c>
      <c r="C89" s="3" t="s">
        <v>251</v>
      </c>
      <c r="D89" s="3" t="s">
        <v>625</v>
      </c>
      <c r="E89" s="3" t="s">
        <v>58</v>
      </c>
      <c r="F89" s="3" t="s">
        <v>24</v>
      </c>
      <c r="G89" s="3" t="s">
        <v>288</v>
      </c>
      <c r="H89" s="11">
        <v>45955.712500000001</v>
      </c>
      <c r="I89" s="11">
        <v>45956.629166666666</v>
      </c>
      <c r="J89" s="11"/>
      <c r="K89" s="3" t="s">
        <v>54</v>
      </c>
      <c r="L89" s="3" t="s">
        <v>543</v>
      </c>
      <c r="M89" s="3" t="s">
        <v>288</v>
      </c>
      <c r="N89" s="3" t="s">
        <v>522</v>
      </c>
      <c r="O89" s="3" t="s">
        <v>288</v>
      </c>
      <c r="P89">
        <v>2</v>
      </c>
      <c r="Q89" s="3" t="s">
        <v>410</v>
      </c>
      <c r="R89" s="3" t="s">
        <v>423</v>
      </c>
      <c r="S89" s="3" t="s">
        <v>288</v>
      </c>
      <c r="T89" s="3" t="s">
        <v>288</v>
      </c>
      <c r="V89" s="3" t="s">
        <v>252</v>
      </c>
      <c r="W89" s="3" t="s">
        <v>26</v>
      </c>
      <c r="X89" s="3" t="s">
        <v>71</v>
      </c>
      <c r="Y89" s="3" t="s">
        <v>110</v>
      </c>
      <c r="Z89" s="3" t="s">
        <v>41</v>
      </c>
      <c r="AA89" s="3" t="s">
        <v>458</v>
      </c>
      <c r="AB89" s="3" t="s">
        <v>288</v>
      </c>
      <c r="AC89" s="3" t="s">
        <v>459</v>
      </c>
      <c r="AD89" s="3" t="s">
        <v>413</v>
      </c>
      <c r="AE89" s="3" t="s">
        <v>435</v>
      </c>
      <c r="AF89" s="3" t="s">
        <v>288</v>
      </c>
      <c r="AG89" s="11">
        <v>45955.712500000001</v>
      </c>
      <c r="AH89" s="11"/>
      <c r="AI89" s="10"/>
      <c r="AJ89">
        <v>1</v>
      </c>
      <c r="AK89" s="3" t="s">
        <v>415</v>
      </c>
      <c r="AL89" s="3" t="s">
        <v>454</v>
      </c>
    </row>
    <row r="90" spans="1:38" x14ac:dyDescent="0.25">
      <c r="A90" s="3" t="s">
        <v>253</v>
      </c>
      <c r="B90" s="3" t="s">
        <v>446</v>
      </c>
      <c r="C90" s="3" t="s">
        <v>254</v>
      </c>
      <c r="D90" s="3" t="s">
        <v>626</v>
      </c>
      <c r="E90" s="3" t="s">
        <v>14</v>
      </c>
      <c r="F90" s="3" t="s">
        <v>24</v>
      </c>
      <c r="G90" s="3" t="s">
        <v>406</v>
      </c>
      <c r="H90" s="11">
        <v>45956.343055555553</v>
      </c>
      <c r="I90" s="11">
        <v>45957.207638888889</v>
      </c>
      <c r="J90" s="11">
        <v>45957.207638888889</v>
      </c>
      <c r="K90" s="3" t="s">
        <v>54</v>
      </c>
      <c r="L90" s="3" t="s">
        <v>419</v>
      </c>
      <c r="M90" s="3" t="s">
        <v>462</v>
      </c>
      <c r="N90" s="3" t="s">
        <v>606</v>
      </c>
      <c r="O90" s="3" t="s">
        <v>500</v>
      </c>
      <c r="P90">
        <v>1</v>
      </c>
      <c r="Q90" s="3" t="s">
        <v>288</v>
      </c>
      <c r="R90" s="3" t="s">
        <v>288</v>
      </c>
      <c r="S90" s="3" t="s">
        <v>288</v>
      </c>
      <c r="T90" s="3" t="s">
        <v>423</v>
      </c>
      <c r="U90">
        <v>129</v>
      </c>
      <c r="V90" s="3" t="s">
        <v>25</v>
      </c>
      <c r="W90" s="3" t="s">
        <v>26</v>
      </c>
      <c r="X90" s="3" t="s">
        <v>38</v>
      </c>
      <c r="Y90" s="3" t="s">
        <v>40</v>
      </c>
      <c r="Z90" s="3" t="s">
        <v>29</v>
      </c>
      <c r="AA90" s="3" t="s">
        <v>425</v>
      </c>
      <c r="AB90" s="3" t="s">
        <v>347</v>
      </c>
      <c r="AC90" s="3" t="s">
        <v>563</v>
      </c>
      <c r="AD90" s="3" t="s">
        <v>413</v>
      </c>
      <c r="AE90" s="3" t="s">
        <v>427</v>
      </c>
      <c r="AF90" s="3" t="s">
        <v>288</v>
      </c>
      <c r="AG90" s="11">
        <v>45956.343055555553</v>
      </c>
      <c r="AH90" s="11">
        <v>45957.207638888889</v>
      </c>
      <c r="AI90" s="10"/>
      <c r="AJ90">
        <v>3</v>
      </c>
      <c r="AK90" s="3" t="s">
        <v>428</v>
      </c>
      <c r="AL90" s="3" t="s">
        <v>454</v>
      </c>
    </row>
    <row r="91" spans="1:38" x14ac:dyDescent="0.25">
      <c r="A91" s="3" t="s">
        <v>255</v>
      </c>
      <c r="B91" s="3" t="s">
        <v>446</v>
      </c>
      <c r="C91" s="3" t="s">
        <v>256</v>
      </c>
      <c r="D91" s="3" t="s">
        <v>627</v>
      </c>
      <c r="E91" s="3" t="s">
        <v>14</v>
      </c>
      <c r="F91" s="3" t="s">
        <v>24</v>
      </c>
      <c r="G91" s="3" t="s">
        <v>406</v>
      </c>
      <c r="H91" s="11">
        <v>45956.397222222222</v>
      </c>
      <c r="I91" s="11">
        <v>45957.357638888891</v>
      </c>
      <c r="J91" s="11">
        <v>45957.357638888891</v>
      </c>
      <c r="K91" s="3" t="s">
        <v>19</v>
      </c>
      <c r="L91" s="3" t="s">
        <v>456</v>
      </c>
      <c r="M91" s="3" t="s">
        <v>529</v>
      </c>
      <c r="N91" s="3" t="s">
        <v>595</v>
      </c>
      <c r="O91" s="3" t="s">
        <v>288</v>
      </c>
      <c r="P91">
        <v>1</v>
      </c>
      <c r="Q91" s="3" t="s">
        <v>422</v>
      </c>
      <c r="R91" s="3" t="s">
        <v>288</v>
      </c>
      <c r="S91" s="3" t="s">
        <v>288</v>
      </c>
      <c r="T91" s="3" t="s">
        <v>424</v>
      </c>
      <c r="U91">
        <v>154</v>
      </c>
      <c r="V91" s="3" t="s">
        <v>101</v>
      </c>
      <c r="W91" s="3" t="s">
        <v>17</v>
      </c>
      <c r="X91" s="3" t="s">
        <v>18</v>
      </c>
      <c r="Y91" s="3" t="s">
        <v>55</v>
      </c>
      <c r="Z91" s="3" t="s">
        <v>41</v>
      </c>
      <c r="AA91" s="3" t="s">
        <v>412</v>
      </c>
      <c r="AB91" s="3" t="s">
        <v>348</v>
      </c>
      <c r="AC91" s="3" t="s">
        <v>481</v>
      </c>
      <c r="AD91" s="3" t="s">
        <v>460</v>
      </c>
      <c r="AE91" s="3" t="s">
        <v>524</v>
      </c>
      <c r="AF91" s="3" t="s">
        <v>288</v>
      </c>
      <c r="AG91" s="11">
        <v>45956.397222222222</v>
      </c>
      <c r="AH91" s="11">
        <v>45957.357638888891</v>
      </c>
      <c r="AI91" s="10"/>
      <c r="AJ91">
        <v>3</v>
      </c>
      <c r="AK91" s="3" t="s">
        <v>428</v>
      </c>
      <c r="AL91" s="3" t="s">
        <v>416</v>
      </c>
    </row>
    <row r="92" spans="1:38" x14ac:dyDescent="0.25">
      <c r="A92" s="3" t="s">
        <v>257</v>
      </c>
      <c r="B92" s="3" t="s">
        <v>438</v>
      </c>
      <c r="C92" s="3" t="s">
        <v>258</v>
      </c>
      <c r="D92" s="3" t="s">
        <v>628</v>
      </c>
      <c r="E92" s="3" t="s">
        <v>58</v>
      </c>
      <c r="F92" s="3" t="s">
        <v>24</v>
      </c>
      <c r="G92" s="3" t="s">
        <v>288</v>
      </c>
      <c r="H92" s="11">
        <v>45956.548611111109</v>
      </c>
      <c r="I92" s="11">
        <v>45959.465277777781</v>
      </c>
      <c r="J92" s="11"/>
      <c r="K92" s="3" t="s">
        <v>72</v>
      </c>
      <c r="L92" s="3" t="s">
        <v>573</v>
      </c>
      <c r="M92" s="3" t="s">
        <v>288</v>
      </c>
      <c r="N92" s="3" t="s">
        <v>598</v>
      </c>
      <c r="O92" s="3" t="s">
        <v>536</v>
      </c>
      <c r="P92">
        <v>0</v>
      </c>
      <c r="Q92" s="3" t="s">
        <v>422</v>
      </c>
      <c r="R92" s="3" t="s">
        <v>424</v>
      </c>
      <c r="S92" s="3" t="s">
        <v>288</v>
      </c>
      <c r="T92" s="3" t="s">
        <v>288</v>
      </c>
      <c r="V92" s="3" t="s">
        <v>59</v>
      </c>
      <c r="W92" s="3" t="s">
        <v>17</v>
      </c>
      <c r="X92" s="3" t="s">
        <v>124</v>
      </c>
      <c r="Y92" s="3" t="s">
        <v>73</v>
      </c>
      <c r="Z92" s="3" t="s">
        <v>41</v>
      </c>
      <c r="AA92" s="3" t="s">
        <v>458</v>
      </c>
      <c r="AB92" s="3" t="s">
        <v>288</v>
      </c>
      <c r="AC92" s="3" t="s">
        <v>452</v>
      </c>
      <c r="AD92" s="3" t="s">
        <v>444</v>
      </c>
      <c r="AE92" s="3" t="s">
        <v>414</v>
      </c>
      <c r="AF92" s="3" t="s">
        <v>288</v>
      </c>
      <c r="AG92" s="11">
        <v>45956.548611111109</v>
      </c>
      <c r="AH92" s="11"/>
      <c r="AI92" s="10">
        <v>45959</v>
      </c>
      <c r="AJ92">
        <v>2</v>
      </c>
      <c r="AK92" s="3" t="s">
        <v>436</v>
      </c>
      <c r="AL92" s="3" t="s">
        <v>437</v>
      </c>
    </row>
    <row r="93" spans="1:38" x14ac:dyDescent="0.25">
      <c r="A93" s="3" t="s">
        <v>259</v>
      </c>
      <c r="B93" s="3" t="s">
        <v>446</v>
      </c>
      <c r="C93" s="3" t="s">
        <v>260</v>
      </c>
      <c r="D93" s="3" t="s">
        <v>629</v>
      </c>
      <c r="E93" s="3" t="s">
        <v>14</v>
      </c>
      <c r="F93" s="3" t="s">
        <v>15</v>
      </c>
      <c r="G93" s="3" t="s">
        <v>406</v>
      </c>
      <c r="H93" s="11">
        <v>45956.680555555555</v>
      </c>
      <c r="I93" s="11">
        <v>45957.811805555553</v>
      </c>
      <c r="J93" s="11">
        <v>45957.811805555553</v>
      </c>
      <c r="K93" s="3" t="s">
        <v>54</v>
      </c>
      <c r="L93" s="3" t="s">
        <v>573</v>
      </c>
      <c r="M93" s="3" t="s">
        <v>521</v>
      </c>
      <c r="N93" s="3" t="s">
        <v>533</v>
      </c>
      <c r="O93" s="3" t="s">
        <v>288</v>
      </c>
      <c r="P93">
        <v>0</v>
      </c>
      <c r="Q93" s="3" t="s">
        <v>288</v>
      </c>
      <c r="R93" s="3" t="s">
        <v>288</v>
      </c>
      <c r="S93" s="3" t="s">
        <v>288</v>
      </c>
      <c r="T93" s="3" t="s">
        <v>411</v>
      </c>
      <c r="U93">
        <v>470</v>
      </c>
      <c r="V93" s="3" t="s">
        <v>127</v>
      </c>
      <c r="W93" s="3" t="s">
        <v>17</v>
      </c>
      <c r="X93" s="3" t="s">
        <v>33</v>
      </c>
      <c r="Y93" s="3" t="s">
        <v>73</v>
      </c>
      <c r="Z93" s="3" t="s">
        <v>21</v>
      </c>
      <c r="AA93" s="3" t="s">
        <v>458</v>
      </c>
      <c r="AB93" s="3" t="s">
        <v>349</v>
      </c>
      <c r="AC93" s="3" t="s">
        <v>288</v>
      </c>
      <c r="AD93" s="3" t="s">
        <v>460</v>
      </c>
      <c r="AE93" s="3" t="s">
        <v>524</v>
      </c>
      <c r="AF93" s="3" t="s">
        <v>288</v>
      </c>
      <c r="AG93" s="11">
        <v>45956.680555555555</v>
      </c>
      <c r="AH93" s="11">
        <v>45957.811805555553</v>
      </c>
      <c r="AI93" s="10"/>
      <c r="AJ93">
        <v>0</v>
      </c>
      <c r="AK93" s="3" t="s">
        <v>428</v>
      </c>
      <c r="AL93" s="3" t="s">
        <v>437</v>
      </c>
    </row>
    <row r="94" spans="1:38" x14ac:dyDescent="0.25">
      <c r="A94" s="3" t="s">
        <v>261</v>
      </c>
      <c r="B94" s="3" t="s">
        <v>438</v>
      </c>
      <c r="C94" s="3" t="s">
        <v>262</v>
      </c>
      <c r="D94" s="3" t="s">
        <v>630</v>
      </c>
      <c r="E94" s="3" t="s">
        <v>58</v>
      </c>
      <c r="F94" s="3" t="s">
        <v>63</v>
      </c>
      <c r="G94" s="3" t="s">
        <v>288</v>
      </c>
      <c r="H94" s="11">
        <v>45957.463888888888</v>
      </c>
      <c r="I94" s="11">
        <v>45959.630555555559</v>
      </c>
      <c r="J94" s="11"/>
      <c r="K94" s="3" t="s">
        <v>19</v>
      </c>
      <c r="L94" s="3" t="s">
        <v>440</v>
      </c>
      <c r="M94" s="3" t="s">
        <v>288</v>
      </c>
      <c r="N94" s="3" t="s">
        <v>606</v>
      </c>
      <c r="O94" s="3" t="s">
        <v>288</v>
      </c>
      <c r="P94">
        <v>1</v>
      </c>
      <c r="Q94" s="3" t="s">
        <v>410</v>
      </c>
      <c r="R94" s="3" t="s">
        <v>288</v>
      </c>
      <c r="S94" s="3" t="s">
        <v>288</v>
      </c>
      <c r="T94" s="3" t="s">
        <v>288</v>
      </c>
      <c r="V94" s="3" t="s">
        <v>91</v>
      </c>
      <c r="W94" s="3" t="s">
        <v>26</v>
      </c>
      <c r="X94" s="3" t="s">
        <v>53</v>
      </c>
      <c r="Y94" s="3" t="s">
        <v>55</v>
      </c>
      <c r="Z94" s="3" t="s">
        <v>21</v>
      </c>
      <c r="AA94" s="3" t="s">
        <v>412</v>
      </c>
      <c r="AB94" s="3" t="s">
        <v>288</v>
      </c>
      <c r="AC94" s="3" t="s">
        <v>513</v>
      </c>
      <c r="AD94" s="3" t="s">
        <v>426</v>
      </c>
      <c r="AE94" s="3" t="s">
        <v>453</v>
      </c>
      <c r="AF94" s="3" t="s">
        <v>288</v>
      </c>
      <c r="AG94" s="11">
        <v>45957.463888888888</v>
      </c>
      <c r="AH94" s="11"/>
      <c r="AI94" s="10"/>
      <c r="AJ94">
        <v>0</v>
      </c>
      <c r="AK94" s="3" t="s">
        <v>415</v>
      </c>
      <c r="AL94" s="3" t="s">
        <v>437</v>
      </c>
    </row>
    <row r="95" spans="1:38" x14ac:dyDescent="0.25">
      <c r="A95" s="3" t="s">
        <v>263</v>
      </c>
      <c r="B95" s="3" t="s">
        <v>404</v>
      </c>
      <c r="C95" s="3" t="s">
        <v>264</v>
      </c>
      <c r="D95" s="3" t="s">
        <v>631</v>
      </c>
      <c r="E95" s="3" t="s">
        <v>14</v>
      </c>
      <c r="F95" s="3" t="s">
        <v>24</v>
      </c>
      <c r="G95" s="3" t="s">
        <v>406</v>
      </c>
      <c r="H95" s="11">
        <v>45957.489583333336</v>
      </c>
      <c r="I95" s="11">
        <v>45958.615972222222</v>
      </c>
      <c r="J95" s="11">
        <v>45958.615972222222</v>
      </c>
      <c r="K95" s="3" t="s">
        <v>34</v>
      </c>
      <c r="L95" s="3" t="s">
        <v>492</v>
      </c>
      <c r="M95" s="3" t="s">
        <v>473</v>
      </c>
      <c r="N95" s="3" t="s">
        <v>552</v>
      </c>
      <c r="O95" s="3" t="s">
        <v>432</v>
      </c>
      <c r="P95">
        <v>2</v>
      </c>
      <c r="Q95" s="3" t="s">
        <v>410</v>
      </c>
      <c r="R95" s="3" t="s">
        <v>424</v>
      </c>
      <c r="S95" s="3" t="s">
        <v>288</v>
      </c>
      <c r="T95" s="3" t="s">
        <v>433</v>
      </c>
      <c r="U95">
        <v>168</v>
      </c>
      <c r="V95" s="3" t="s">
        <v>44</v>
      </c>
      <c r="W95" s="3" t="s">
        <v>26</v>
      </c>
      <c r="X95" s="3" t="s">
        <v>38</v>
      </c>
      <c r="Y95" s="3" t="s">
        <v>20</v>
      </c>
      <c r="Z95" s="3" t="s">
        <v>21</v>
      </c>
      <c r="AA95" s="3" t="s">
        <v>458</v>
      </c>
      <c r="AB95" s="3" t="s">
        <v>350</v>
      </c>
      <c r="AC95" s="3" t="s">
        <v>459</v>
      </c>
      <c r="AD95" s="3" t="s">
        <v>460</v>
      </c>
      <c r="AE95" s="3" t="s">
        <v>470</v>
      </c>
      <c r="AF95" s="3" t="s">
        <v>288</v>
      </c>
      <c r="AG95" s="11">
        <v>45957.489583333336</v>
      </c>
      <c r="AH95" s="11">
        <v>45958.615972222222</v>
      </c>
      <c r="AI95" s="10">
        <v>45963</v>
      </c>
      <c r="AJ95">
        <v>1</v>
      </c>
      <c r="AK95" s="3" t="s">
        <v>415</v>
      </c>
      <c r="AL95" s="3" t="s">
        <v>454</v>
      </c>
    </row>
    <row r="96" spans="1:38" x14ac:dyDescent="0.25">
      <c r="A96" s="3" t="s">
        <v>265</v>
      </c>
      <c r="B96" s="3" t="s">
        <v>438</v>
      </c>
      <c r="C96" s="3" t="s">
        <v>266</v>
      </c>
      <c r="D96" s="3" t="s">
        <v>632</v>
      </c>
      <c r="E96" s="3" t="s">
        <v>113</v>
      </c>
      <c r="F96" s="3" t="s">
        <v>15</v>
      </c>
      <c r="G96" s="3" t="s">
        <v>288</v>
      </c>
      <c r="H96" s="11">
        <v>45957.495138888888</v>
      </c>
      <c r="I96" s="11">
        <v>45957.703472222223</v>
      </c>
      <c r="J96" s="11"/>
      <c r="K96" s="3" t="s">
        <v>54</v>
      </c>
      <c r="L96" s="3" t="s">
        <v>541</v>
      </c>
      <c r="M96" s="3" t="s">
        <v>288</v>
      </c>
      <c r="N96" s="3" t="s">
        <v>598</v>
      </c>
      <c r="O96" s="3" t="s">
        <v>288</v>
      </c>
      <c r="P96">
        <v>3</v>
      </c>
      <c r="Q96" s="3" t="s">
        <v>288</v>
      </c>
      <c r="R96" s="3" t="s">
        <v>288</v>
      </c>
      <c r="S96" s="3" t="s">
        <v>288</v>
      </c>
      <c r="T96" s="3" t="s">
        <v>288</v>
      </c>
      <c r="V96" s="3" t="s">
        <v>88</v>
      </c>
      <c r="W96" s="3" t="s">
        <v>26</v>
      </c>
      <c r="X96" s="3" t="s">
        <v>71</v>
      </c>
      <c r="Y96" s="3" t="s">
        <v>28</v>
      </c>
      <c r="Z96" s="3" t="s">
        <v>21</v>
      </c>
      <c r="AA96" s="3" t="s">
        <v>476</v>
      </c>
      <c r="AB96" s="3" t="s">
        <v>288</v>
      </c>
      <c r="AC96" s="3" t="s">
        <v>547</v>
      </c>
      <c r="AD96" s="3" t="s">
        <v>460</v>
      </c>
      <c r="AE96" s="3" t="s">
        <v>490</v>
      </c>
      <c r="AF96" s="3" t="s">
        <v>633</v>
      </c>
      <c r="AG96" s="11">
        <v>45957.495138888888</v>
      </c>
      <c r="AH96" s="11"/>
      <c r="AI96" s="10">
        <v>45961</v>
      </c>
      <c r="AJ96">
        <v>1</v>
      </c>
      <c r="AK96" s="3" t="s">
        <v>428</v>
      </c>
      <c r="AL96" s="3" t="s">
        <v>454</v>
      </c>
    </row>
    <row r="97" spans="1:38" x14ac:dyDescent="0.25">
      <c r="A97" s="3" t="s">
        <v>267</v>
      </c>
      <c r="B97" s="3" t="s">
        <v>404</v>
      </c>
      <c r="C97" s="3" t="s">
        <v>268</v>
      </c>
      <c r="D97" s="3" t="s">
        <v>634</v>
      </c>
      <c r="E97" s="3" t="s">
        <v>14</v>
      </c>
      <c r="F97" s="3" t="s">
        <v>24</v>
      </c>
      <c r="G97" s="3" t="s">
        <v>406</v>
      </c>
      <c r="H97" s="11">
        <v>45958.355555555558</v>
      </c>
      <c r="I97" s="11">
        <v>45959.807638888888</v>
      </c>
      <c r="J97" s="11">
        <v>45959.807638888888</v>
      </c>
      <c r="K97" s="3" t="s">
        <v>27</v>
      </c>
      <c r="L97" s="3" t="s">
        <v>492</v>
      </c>
      <c r="M97" s="3" t="s">
        <v>466</v>
      </c>
      <c r="N97" s="3" t="s">
        <v>576</v>
      </c>
      <c r="O97" s="3" t="s">
        <v>536</v>
      </c>
      <c r="P97">
        <v>3</v>
      </c>
      <c r="Q97" s="3" t="s">
        <v>288</v>
      </c>
      <c r="R97" s="3" t="s">
        <v>288</v>
      </c>
      <c r="S97" s="3" t="s">
        <v>288</v>
      </c>
      <c r="T97" s="3" t="s">
        <v>423</v>
      </c>
      <c r="U97">
        <v>390</v>
      </c>
      <c r="V97" s="3" t="s">
        <v>88</v>
      </c>
      <c r="W97" s="3" t="s">
        <v>26</v>
      </c>
      <c r="X97" s="3" t="s">
        <v>121</v>
      </c>
      <c r="Y97" s="3" t="s">
        <v>67</v>
      </c>
      <c r="Z97" s="3" t="s">
        <v>41</v>
      </c>
      <c r="AA97" s="3" t="s">
        <v>412</v>
      </c>
      <c r="AB97" s="3" t="s">
        <v>351</v>
      </c>
      <c r="AC97" s="3" t="s">
        <v>485</v>
      </c>
      <c r="AD97" s="3" t="s">
        <v>460</v>
      </c>
      <c r="AE97" s="3" t="s">
        <v>470</v>
      </c>
      <c r="AF97" s="3" t="s">
        <v>635</v>
      </c>
      <c r="AG97" s="11">
        <v>45958.355555555558</v>
      </c>
      <c r="AH97" s="11">
        <v>45959.807638888888</v>
      </c>
      <c r="AI97" s="10"/>
      <c r="AJ97">
        <v>3</v>
      </c>
      <c r="AK97" s="3" t="s">
        <v>428</v>
      </c>
      <c r="AL97" s="3" t="s">
        <v>416</v>
      </c>
    </row>
    <row r="98" spans="1:38" x14ac:dyDescent="0.25">
      <c r="A98" s="3" t="s">
        <v>269</v>
      </c>
      <c r="B98" s="3" t="s">
        <v>446</v>
      </c>
      <c r="C98" s="3" t="s">
        <v>270</v>
      </c>
      <c r="D98" s="3" t="s">
        <v>636</v>
      </c>
      <c r="E98" s="3" t="s">
        <v>58</v>
      </c>
      <c r="F98" s="3" t="s">
        <v>24</v>
      </c>
      <c r="G98" s="3" t="s">
        <v>288</v>
      </c>
      <c r="H98" s="11">
        <v>45958.393750000003</v>
      </c>
      <c r="I98" s="11">
        <v>45959.810416666667</v>
      </c>
      <c r="J98" s="11"/>
      <c r="K98" s="3" t="s">
        <v>54</v>
      </c>
      <c r="L98" s="3" t="s">
        <v>492</v>
      </c>
      <c r="M98" s="3" t="s">
        <v>288</v>
      </c>
      <c r="N98" s="3" t="s">
        <v>530</v>
      </c>
      <c r="O98" s="3" t="s">
        <v>432</v>
      </c>
      <c r="P98">
        <v>3</v>
      </c>
      <c r="Q98" s="3" t="s">
        <v>422</v>
      </c>
      <c r="R98" s="3" t="s">
        <v>288</v>
      </c>
      <c r="S98" s="3" t="s">
        <v>288</v>
      </c>
      <c r="T98" s="3" t="s">
        <v>288</v>
      </c>
      <c r="V98" s="3" t="s">
        <v>209</v>
      </c>
      <c r="W98" s="3" t="s">
        <v>17</v>
      </c>
      <c r="X98" s="3" t="s">
        <v>71</v>
      </c>
      <c r="Y98" s="3" t="s">
        <v>110</v>
      </c>
      <c r="Z98" s="3" t="s">
        <v>41</v>
      </c>
      <c r="AA98" s="3" t="s">
        <v>476</v>
      </c>
      <c r="AB98" s="3" t="s">
        <v>288</v>
      </c>
      <c r="AC98" s="3" t="s">
        <v>481</v>
      </c>
      <c r="AD98" s="3" t="s">
        <v>482</v>
      </c>
      <c r="AE98" s="3" t="s">
        <v>490</v>
      </c>
      <c r="AF98" s="3" t="s">
        <v>288</v>
      </c>
      <c r="AG98" s="11">
        <v>45958.393750000003</v>
      </c>
      <c r="AH98" s="11"/>
      <c r="AI98" s="10"/>
      <c r="AJ98">
        <v>2</v>
      </c>
      <c r="AK98" s="3" t="s">
        <v>428</v>
      </c>
      <c r="AL98" s="3" t="s">
        <v>437</v>
      </c>
    </row>
    <row r="99" spans="1:38" x14ac:dyDescent="0.25">
      <c r="A99" s="3" t="s">
        <v>271</v>
      </c>
      <c r="B99" s="3" t="s">
        <v>404</v>
      </c>
      <c r="C99" s="3" t="s">
        <v>272</v>
      </c>
      <c r="D99" s="3" t="s">
        <v>637</v>
      </c>
      <c r="E99" s="3" t="s">
        <v>14</v>
      </c>
      <c r="F99" s="3" t="s">
        <v>15</v>
      </c>
      <c r="G99" s="3" t="s">
        <v>406</v>
      </c>
      <c r="H99" s="11">
        <v>45960.479861111111</v>
      </c>
      <c r="I99" s="11">
        <v>45961.179166666669</v>
      </c>
      <c r="J99" s="11">
        <v>45961.179166666669</v>
      </c>
      <c r="K99" s="3" t="s">
        <v>34</v>
      </c>
      <c r="L99" s="3" t="s">
        <v>407</v>
      </c>
      <c r="M99" s="3" t="s">
        <v>543</v>
      </c>
      <c r="N99" s="3" t="s">
        <v>463</v>
      </c>
      <c r="O99" s="3" t="s">
        <v>288</v>
      </c>
      <c r="P99">
        <v>1</v>
      </c>
      <c r="Q99" s="3" t="s">
        <v>422</v>
      </c>
      <c r="R99" s="3" t="s">
        <v>288</v>
      </c>
      <c r="S99" s="3" t="s">
        <v>288</v>
      </c>
      <c r="T99" s="3" t="s">
        <v>411</v>
      </c>
      <c r="U99">
        <v>316</v>
      </c>
      <c r="V99" s="3" t="s">
        <v>88</v>
      </c>
      <c r="W99" s="3" t="s">
        <v>26</v>
      </c>
      <c r="X99" s="3" t="s">
        <v>33</v>
      </c>
      <c r="Y99" s="3" t="s">
        <v>60</v>
      </c>
      <c r="Z99" s="3" t="s">
        <v>29</v>
      </c>
      <c r="AA99" s="3" t="s">
        <v>412</v>
      </c>
      <c r="AB99" s="3" t="s">
        <v>352</v>
      </c>
      <c r="AC99" s="3" t="s">
        <v>464</v>
      </c>
      <c r="AD99" s="3" t="s">
        <v>413</v>
      </c>
      <c r="AE99" s="3" t="s">
        <v>445</v>
      </c>
      <c r="AF99" s="3" t="s">
        <v>638</v>
      </c>
      <c r="AG99" s="11">
        <v>45960.479861111111</v>
      </c>
      <c r="AH99" s="11">
        <v>45961.179166666669</v>
      </c>
      <c r="AI99" s="10"/>
      <c r="AJ99">
        <v>2</v>
      </c>
      <c r="AK99" s="3" t="s">
        <v>428</v>
      </c>
      <c r="AL99" s="3" t="s">
        <v>454</v>
      </c>
    </row>
    <row r="100" spans="1:38" x14ac:dyDescent="0.25">
      <c r="A100" s="3" t="s">
        <v>273</v>
      </c>
      <c r="B100" s="3" t="s">
        <v>404</v>
      </c>
      <c r="C100" s="3" t="s">
        <v>274</v>
      </c>
      <c r="D100" s="3" t="s">
        <v>639</v>
      </c>
      <c r="E100" s="3" t="s">
        <v>58</v>
      </c>
      <c r="F100" s="3" t="s">
        <v>15</v>
      </c>
      <c r="G100" s="3" t="s">
        <v>288</v>
      </c>
      <c r="H100" s="11">
        <v>45960.530555555553</v>
      </c>
      <c r="I100" s="11">
        <v>45962.113888888889</v>
      </c>
      <c r="J100" s="11"/>
      <c r="K100" s="3" t="s">
        <v>72</v>
      </c>
      <c r="L100" s="3" t="s">
        <v>573</v>
      </c>
      <c r="M100" s="3" t="s">
        <v>288</v>
      </c>
      <c r="N100" s="3" t="s">
        <v>595</v>
      </c>
      <c r="O100" s="3" t="s">
        <v>432</v>
      </c>
      <c r="P100">
        <v>1</v>
      </c>
      <c r="Q100" s="3" t="s">
        <v>288</v>
      </c>
      <c r="R100" s="3" t="s">
        <v>288</v>
      </c>
      <c r="S100" s="3" t="s">
        <v>288</v>
      </c>
      <c r="T100" s="3" t="s">
        <v>288</v>
      </c>
      <c r="V100" s="3" t="s">
        <v>146</v>
      </c>
      <c r="W100" s="3" t="s">
        <v>17</v>
      </c>
      <c r="X100" s="3" t="s">
        <v>33</v>
      </c>
      <c r="Y100" s="3" t="s">
        <v>60</v>
      </c>
      <c r="Z100" s="3" t="s">
        <v>29</v>
      </c>
      <c r="AA100" s="3" t="s">
        <v>412</v>
      </c>
      <c r="AB100" s="3" t="s">
        <v>288</v>
      </c>
      <c r="AC100" s="3" t="s">
        <v>513</v>
      </c>
      <c r="AD100" s="3" t="s">
        <v>434</v>
      </c>
      <c r="AE100" s="3" t="s">
        <v>483</v>
      </c>
      <c r="AF100" s="3" t="s">
        <v>640</v>
      </c>
      <c r="AG100" s="11">
        <v>45960.530555555553</v>
      </c>
      <c r="AH100" s="11"/>
      <c r="AI100" s="10"/>
      <c r="AJ100">
        <v>3</v>
      </c>
      <c r="AK100" s="3" t="s">
        <v>436</v>
      </c>
      <c r="AL100" s="3" t="s">
        <v>416</v>
      </c>
    </row>
    <row r="101" spans="1:38" x14ac:dyDescent="0.25">
      <c r="A101" s="3" t="s">
        <v>275</v>
      </c>
      <c r="B101" s="3" t="s">
        <v>404</v>
      </c>
      <c r="C101" s="3" t="s">
        <v>276</v>
      </c>
      <c r="D101" s="3" t="s">
        <v>641</v>
      </c>
      <c r="E101" s="3" t="s">
        <v>14</v>
      </c>
      <c r="F101" s="3" t="s">
        <v>15</v>
      </c>
      <c r="G101" s="3" t="s">
        <v>406</v>
      </c>
      <c r="H101" s="11">
        <v>45960.588194444441</v>
      </c>
      <c r="I101" s="11">
        <v>45962.215277777781</v>
      </c>
      <c r="J101" s="11">
        <v>45962.215277777781</v>
      </c>
      <c r="K101" s="3" t="s">
        <v>54</v>
      </c>
      <c r="L101" s="3" t="s">
        <v>541</v>
      </c>
      <c r="M101" s="3" t="s">
        <v>430</v>
      </c>
      <c r="N101" s="3" t="s">
        <v>508</v>
      </c>
      <c r="O101" s="3" t="s">
        <v>506</v>
      </c>
      <c r="P101">
        <v>3</v>
      </c>
      <c r="Q101" s="3" t="s">
        <v>422</v>
      </c>
      <c r="R101" s="3" t="s">
        <v>288</v>
      </c>
      <c r="S101" s="3" t="s">
        <v>288</v>
      </c>
      <c r="T101" s="3" t="s">
        <v>433</v>
      </c>
      <c r="U101">
        <v>390</v>
      </c>
      <c r="V101" s="3" t="s">
        <v>76</v>
      </c>
      <c r="W101" s="3" t="s">
        <v>26</v>
      </c>
      <c r="X101" s="3" t="s">
        <v>124</v>
      </c>
      <c r="Y101" s="3" t="s">
        <v>67</v>
      </c>
      <c r="Z101" s="3" t="s">
        <v>21</v>
      </c>
      <c r="AA101" s="3" t="s">
        <v>425</v>
      </c>
      <c r="AB101" s="3" t="s">
        <v>353</v>
      </c>
      <c r="AC101" s="3" t="s">
        <v>288</v>
      </c>
      <c r="AD101" s="3" t="s">
        <v>444</v>
      </c>
      <c r="AE101" s="3" t="s">
        <v>435</v>
      </c>
      <c r="AF101" s="3" t="s">
        <v>288</v>
      </c>
      <c r="AG101" s="11">
        <v>45960.588194444441</v>
      </c>
      <c r="AH101" s="11">
        <v>45962.215277777781</v>
      </c>
      <c r="AI101" s="10"/>
      <c r="AJ101">
        <v>0</v>
      </c>
      <c r="AK101" s="3" t="s">
        <v>415</v>
      </c>
      <c r="AL101" s="3" t="s">
        <v>454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23B4-DCD1-4BA0-B4D8-93D23022EC46}">
  <dimension ref="A1:L101"/>
  <sheetViews>
    <sheetView topLeftCell="C1" workbookViewId="0">
      <selection activeCell="N20" sqref="N20"/>
    </sheetView>
  </sheetViews>
  <sheetFormatPr defaultRowHeight="15" x14ac:dyDescent="0.25"/>
  <cols>
    <col min="1" max="1" width="11.5703125" bestFit="1" customWidth="1"/>
    <col min="2" max="2" width="76.7109375" bestFit="1" customWidth="1"/>
    <col min="3" max="3" width="9" bestFit="1" customWidth="1"/>
    <col min="4" max="4" width="9.85546875" bestFit="1" customWidth="1"/>
    <col min="5" max="5" width="15.28515625" bestFit="1" customWidth="1"/>
    <col min="6" max="6" width="13.28515625" bestFit="1" customWidth="1"/>
    <col min="7" max="7" width="18.5703125" bestFit="1" customWidth="1"/>
    <col min="8" max="8" width="39.5703125" bestFit="1" customWidth="1"/>
    <col min="9" max="9" width="22.7109375" bestFit="1" customWidth="1"/>
    <col min="10" max="10" width="24.7109375" bestFit="1" customWidth="1"/>
    <col min="11" max="11" width="48.140625" bestFit="1" customWidth="1"/>
    <col min="12" max="12" width="21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2">
        <v>45931.415972222225</v>
      </c>
      <c r="F2" s="1" t="s">
        <v>16</v>
      </c>
      <c r="G2" s="1" t="s">
        <v>17</v>
      </c>
      <c r="H2" s="1" t="s">
        <v>18</v>
      </c>
      <c r="I2" s="1" t="s">
        <v>19</v>
      </c>
      <c r="J2" s="12">
        <v>20.2</v>
      </c>
      <c r="K2" s="1" t="s">
        <v>20</v>
      </c>
      <c r="L2" s="1" t="s">
        <v>21</v>
      </c>
    </row>
    <row r="3" spans="1:12" x14ac:dyDescent="0.25">
      <c r="A3" s="1" t="s">
        <v>22</v>
      </c>
      <c r="B3" s="1" t="s">
        <v>23</v>
      </c>
      <c r="C3" s="1" t="s">
        <v>14</v>
      </c>
      <c r="D3" s="1" t="s">
        <v>24</v>
      </c>
      <c r="E3" s="2">
        <v>45931.507638888892</v>
      </c>
      <c r="F3" s="1" t="s">
        <v>25</v>
      </c>
      <c r="G3" s="1" t="s">
        <v>26</v>
      </c>
      <c r="H3" s="1" t="s">
        <v>18</v>
      </c>
      <c r="I3" s="1" t="s">
        <v>27</v>
      </c>
      <c r="J3" s="12">
        <v>7.6</v>
      </c>
      <c r="K3" s="1" t="s">
        <v>28</v>
      </c>
      <c r="L3" s="1" t="s">
        <v>29</v>
      </c>
    </row>
    <row r="4" spans="1:12" x14ac:dyDescent="0.25">
      <c r="A4" s="1" t="s">
        <v>30</v>
      </c>
      <c r="B4" s="1" t="s">
        <v>31</v>
      </c>
      <c r="C4" s="1" t="s">
        <v>14</v>
      </c>
      <c r="D4" s="1" t="s">
        <v>15</v>
      </c>
      <c r="E4" s="2">
        <v>45931.585416666669</v>
      </c>
      <c r="F4" s="1" t="s">
        <v>32</v>
      </c>
      <c r="G4" s="1" t="s">
        <v>17</v>
      </c>
      <c r="H4" s="1" t="s">
        <v>33</v>
      </c>
      <c r="I4" s="1" t="s">
        <v>34</v>
      </c>
      <c r="J4" s="12">
        <v>24.2</v>
      </c>
      <c r="K4" s="1" t="s">
        <v>28</v>
      </c>
      <c r="L4" s="1" t="s">
        <v>29</v>
      </c>
    </row>
    <row r="5" spans="1:12" x14ac:dyDescent="0.25">
      <c r="A5" s="1" t="s">
        <v>35</v>
      </c>
      <c r="B5" s="1" t="s">
        <v>36</v>
      </c>
      <c r="C5" s="1" t="s">
        <v>14</v>
      </c>
      <c r="D5" s="1" t="s">
        <v>24</v>
      </c>
      <c r="E5" s="2">
        <v>45931.734027777777</v>
      </c>
      <c r="F5" s="1" t="s">
        <v>37</v>
      </c>
      <c r="G5" s="1" t="s">
        <v>26</v>
      </c>
      <c r="H5" s="1" t="s">
        <v>38</v>
      </c>
      <c r="I5" s="1" t="s">
        <v>39</v>
      </c>
      <c r="J5" s="12">
        <v>38.200000000000003</v>
      </c>
      <c r="K5" s="1" t="s">
        <v>40</v>
      </c>
      <c r="L5" s="1" t="s">
        <v>41</v>
      </c>
    </row>
    <row r="6" spans="1:12" x14ac:dyDescent="0.25">
      <c r="A6" s="1" t="s">
        <v>42</v>
      </c>
      <c r="B6" s="1" t="s">
        <v>43</v>
      </c>
      <c r="C6" s="1" t="s">
        <v>14</v>
      </c>
      <c r="D6" s="1" t="s">
        <v>15</v>
      </c>
      <c r="E6" s="2">
        <v>45932.428472222222</v>
      </c>
      <c r="F6" s="1" t="s">
        <v>44</v>
      </c>
      <c r="G6" s="1" t="s">
        <v>26</v>
      </c>
      <c r="H6" s="1" t="s">
        <v>45</v>
      </c>
      <c r="I6" s="1" t="s">
        <v>27</v>
      </c>
      <c r="J6" s="12">
        <v>40.6</v>
      </c>
      <c r="K6" s="1" t="s">
        <v>46</v>
      </c>
      <c r="L6" s="1" t="s">
        <v>47</v>
      </c>
    </row>
    <row r="7" spans="1:12" x14ac:dyDescent="0.25">
      <c r="A7" s="1" t="s">
        <v>48</v>
      </c>
      <c r="B7" s="1" t="s">
        <v>49</v>
      </c>
      <c r="C7" s="1" t="s">
        <v>14</v>
      </c>
      <c r="D7" s="1" t="s">
        <v>24</v>
      </c>
      <c r="E7" s="2">
        <v>45932.449305555558</v>
      </c>
      <c r="F7" s="1" t="s">
        <v>50</v>
      </c>
      <c r="G7" s="1" t="s">
        <v>17</v>
      </c>
      <c r="H7" s="1" t="s">
        <v>18</v>
      </c>
      <c r="I7" s="1" t="s">
        <v>27</v>
      </c>
      <c r="J7" s="12">
        <v>8.8000000000000007</v>
      </c>
      <c r="K7" s="1" t="s">
        <v>28</v>
      </c>
      <c r="L7" s="1" t="s">
        <v>47</v>
      </c>
    </row>
    <row r="8" spans="1:12" x14ac:dyDescent="0.25">
      <c r="A8" s="1" t="s">
        <v>51</v>
      </c>
      <c r="B8" s="1" t="s">
        <v>52</v>
      </c>
      <c r="C8" s="1" t="s">
        <v>14</v>
      </c>
      <c r="D8" s="1" t="s">
        <v>24</v>
      </c>
      <c r="E8" s="2">
        <v>45932.758333333331</v>
      </c>
      <c r="F8" s="1" t="s">
        <v>50</v>
      </c>
      <c r="G8" s="1" t="s">
        <v>17</v>
      </c>
      <c r="H8" s="1" t="s">
        <v>53</v>
      </c>
      <c r="I8" s="1" t="s">
        <v>54</v>
      </c>
      <c r="J8" s="12">
        <v>4.9000000000000004</v>
      </c>
      <c r="K8" s="1" t="s">
        <v>55</v>
      </c>
      <c r="L8" s="1" t="s">
        <v>41</v>
      </c>
    </row>
    <row r="9" spans="1:12" x14ac:dyDescent="0.25">
      <c r="A9" s="1" t="s">
        <v>56</v>
      </c>
      <c r="B9" s="1" t="s">
        <v>57</v>
      </c>
      <c r="C9" s="1" t="s">
        <v>58</v>
      </c>
      <c r="D9" s="1" t="s">
        <v>24</v>
      </c>
      <c r="E9" s="2">
        <v>45933.362500000003</v>
      </c>
      <c r="F9" s="1" t="s">
        <v>59</v>
      </c>
      <c r="G9" s="1" t="s">
        <v>17</v>
      </c>
      <c r="H9" s="1" t="s">
        <v>38</v>
      </c>
      <c r="I9" s="1" t="s">
        <v>19</v>
      </c>
      <c r="J9" s="12">
        <v>0</v>
      </c>
      <c r="K9" s="1" t="s">
        <v>60</v>
      </c>
      <c r="L9" s="1" t="s">
        <v>41</v>
      </c>
    </row>
    <row r="10" spans="1:12" x14ac:dyDescent="0.25">
      <c r="A10" s="1" t="s">
        <v>61</v>
      </c>
      <c r="B10" s="1" t="s">
        <v>62</v>
      </c>
      <c r="C10" s="1" t="s">
        <v>14</v>
      </c>
      <c r="D10" s="1" t="s">
        <v>63</v>
      </c>
      <c r="E10" s="2">
        <v>45933.536111111112</v>
      </c>
      <c r="F10" s="1" t="s">
        <v>64</v>
      </c>
      <c r="G10" s="1" t="s">
        <v>26</v>
      </c>
      <c r="H10" s="1" t="s">
        <v>33</v>
      </c>
      <c r="I10" s="1" t="s">
        <v>27</v>
      </c>
      <c r="J10" s="12">
        <v>39.5</v>
      </c>
      <c r="K10" s="1" t="s">
        <v>60</v>
      </c>
      <c r="L10" s="1" t="s">
        <v>21</v>
      </c>
    </row>
    <row r="11" spans="1:12" x14ac:dyDescent="0.25">
      <c r="A11" s="1" t="s">
        <v>65</v>
      </c>
      <c r="B11" s="1" t="s">
        <v>66</v>
      </c>
      <c r="C11" s="1" t="s">
        <v>14</v>
      </c>
      <c r="D11" s="1" t="s">
        <v>24</v>
      </c>
      <c r="E11" s="2">
        <v>45933.69027777778</v>
      </c>
      <c r="F11" s="1" t="s">
        <v>59</v>
      </c>
      <c r="G11" s="1" t="s">
        <v>17</v>
      </c>
      <c r="H11" s="1" t="s">
        <v>18</v>
      </c>
      <c r="I11" s="1" t="s">
        <v>19</v>
      </c>
      <c r="J11" s="12">
        <v>20.9</v>
      </c>
      <c r="K11" s="1" t="s">
        <v>67</v>
      </c>
      <c r="L11" s="1" t="s">
        <v>47</v>
      </c>
    </row>
    <row r="12" spans="1:12" x14ac:dyDescent="0.25">
      <c r="A12" s="1" t="s">
        <v>68</v>
      </c>
      <c r="B12" s="1" t="s">
        <v>69</v>
      </c>
      <c r="C12" s="1" t="s">
        <v>14</v>
      </c>
      <c r="D12" s="1" t="s">
        <v>15</v>
      </c>
      <c r="E12" s="2">
        <v>45934.365972222222</v>
      </c>
      <c r="F12" s="1" t="s">
        <v>70</v>
      </c>
      <c r="G12" s="1" t="s">
        <v>17</v>
      </c>
      <c r="H12" s="1" t="s">
        <v>71</v>
      </c>
      <c r="I12" s="1" t="s">
        <v>72</v>
      </c>
      <c r="J12" s="12">
        <v>15.1</v>
      </c>
      <c r="K12" s="1" t="s">
        <v>73</v>
      </c>
      <c r="L12" s="1" t="s">
        <v>47</v>
      </c>
    </row>
    <row r="13" spans="1:12" x14ac:dyDescent="0.25">
      <c r="A13" s="1" t="s">
        <v>74</v>
      </c>
      <c r="B13" s="1" t="s">
        <v>75</v>
      </c>
      <c r="C13" s="1" t="s">
        <v>14</v>
      </c>
      <c r="D13" s="1" t="s">
        <v>15</v>
      </c>
      <c r="E13" s="2">
        <v>45934.450694444444</v>
      </c>
      <c r="F13" s="1" t="s">
        <v>76</v>
      </c>
      <c r="G13" s="1" t="s">
        <v>26</v>
      </c>
      <c r="H13" s="1" t="s">
        <v>18</v>
      </c>
      <c r="I13" s="1" t="s">
        <v>27</v>
      </c>
      <c r="J13" s="12">
        <v>1.7</v>
      </c>
      <c r="K13" s="1" t="s">
        <v>60</v>
      </c>
      <c r="L13" s="1" t="s">
        <v>41</v>
      </c>
    </row>
    <row r="14" spans="1:12" x14ac:dyDescent="0.25">
      <c r="A14" s="1" t="s">
        <v>77</v>
      </c>
      <c r="B14" s="1" t="s">
        <v>78</v>
      </c>
      <c r="C14" s="1" t="s">
        <v>14</v>
      </c>
      <c r="D14" s="1" t="s">
        <v>24</v>
      </c>
      <c r="E14" s="2">
        <v>45934.479861111111</v>
      </c>
      <c r="F14" s="1" t="s">
        <v>64</v>
      </c>
      <c r="G14" s="1" t="s">
        <v>26</v>
      </c>
      <c r="H14" s="1" t="s">
        <v>79</v>
      </c>
      <c r="I14" s="1" t="s">
        <v>19</v>
      </c>
      <c r="J14" s="12">
        <v>5.5</v>
      </c>
      <c r="K14" s="1" t="s">
        <v>28</v>
      </c>
      <c r="L14" s="1" t="s">
        <v>21</v>
      </c>
    </row>
    <row r="15" spans="1:12" x14ac:dyDescent="0.25">
      <c r="A15" s="1" t="s">
        <v>80</v>
      </c>
      <c r="B15" s="1" t="s">
        <v>81</v>
      </c>
      <c r="C15" s="1" t="s">
        <v>14</v>
      </c>
      <c r="D15" s="1" t="s">
        <v>24</v>
      </c>
      <c r="E15" s="2">
        <v>45934.657638888886</v>
      </c>
      <c r="F15" s="1" t="s">
        <v>82</v>
      </c>
      <c r="G15" s="1" t="s">
        <v>26</v>
      </c>
      <c r="H15" s="1" t="s">
        <v>53</v>
      </c>
      <c r="I15" s="1" t="s">
        <v>72</v>
      </c>
      <c r="J15" s="12">
        <v>7.4</v>
      </c>
      <c r="K15" s="1" t="s">
        <v>73</v>
      </c>
      <c r="L15" s="1" t="s">
        <v>41</v>
      </c>
    </row>
    <row r="16" spans="1:12" x14ac:dyDescent="0.25">
      <c r="A16" s="1" t="s">
        <v>83</v>
      </c>
      <c r="B16" s="1" t="s">
        <v>84</v>
      </c>
      <c r="C16" s="1" t="s">
        <v>14</v>
      </c>
      <c r="D16" s="1" t="s">
        <v>85</v>
      </c>
      <c r="E16" s="2">
        <v>45935.591666666667</v>
      </c>
      <c r="F16" s="1" t="s">
        <v>64</v>
      </c>
      <c r="G16" s="1" t="s">
        <v>26</v>
      </c>
      <c r="H16" s="1" t="s">
        <v>45</v>
      </c>
      <c r="I16" s="1" t="s">
        <v>27</v>
      </c>
      <c r="J16" s="12">
        <v>34.200000000000003</v>
      </c>
      <c r="K16" s="1" t="s">
        <v>73</v>
      </c>
      <c r="L16" s="1" t="s">
        <v>21</v>
      </c>
    </row>
    <row r="17" spans="1:12" x14ac:dyDescent="0.25">
      <c r="A17" s="1" t="s">
        <v>86</v>
      </c>
      <c r="B17" s="1" t="s">
        <v>87</v>
      </c>
      <c r="C17" s="1" t="s">
        <v>14</v>
      </c>
      <c r="D17" s="1" t="s">
        <v>63</v>
      </c>
      <c r="E17" s="2">
        <v>45935.665277777778</v>
      </c>
      <c r="F17" s="1" t="s">
        <v>88</v>
      </c>
      <c r="G17" s="1" t="s">
        <v>26</v>
      </c>
      <c r="H17" s="1" t="s">
        <v>18</v>
      </c>
      <c r="I17" s="1" t="s">
        <v>39</v>
      </c>
      <c r="J17" s="12">
        <v>27.5</v>
      </c>
      <c r="K17" s="1" t="s">
        <v>28</v>
      </c>
      <c r="L17" s="1" t="s">
        <v>21</v>
      </c>
    </row>
    <row r="18" spans="1:12" x14ac:dyDescent="0.25">
      <c r="A18" s="1" t="s">
        <v>89</v>
      </c>
      <c r="B18" s="1" t="s">
        <v>90</v>
      </c>
      <c r="C18" s="1" t="s">
        <v>58</v>
      </c>
      <c r="D18" s="1" t="s">
        <v>24</v>
      </c>
      <c r="E18" s="2">
        <v>45935.734027777777</v>
      </c>
      <c r="F18" s="1" t="s">
        <v>91</v>
      </c>
      <c r="G18" s="1" t="s">
        <v>26</v>
      </c>
      <c r="H18" s="1" t="s">
        <v>18</v>
      </c>
      <c r="I18" s="1" t="s">
        <v>34</v>
      </c>
      <c r="J18" s="12">
        <v>0</v>
      </c>
      <c r="K18" s="1" t="s">
        <v>67</v>
      </c>
      <c r="L18" s="1" t="s">
        <v>29</v>
      </c>
    </row>
    <row r="19" spans="1:12" x14ac:dyDescent="0.25">
      <c r="A19" s="1" t="s">
        <v>92</v>
      </c>
      <c r="B19" s="1" t="s">
        <v>93</v>
      </c>
      <c r="C19" s="1" t="s">
        <v>14</v>
      </c>
      <c r="D19" s="1" t="s">
        <v>24</v>
      </c>
      <c r="E19" s="2">
        <v>45935.745833333334</v>
      </c>
      <c r="F19" s="1" t="s">
        <v>94</v>
      </c>
      <c r="G19" s="1" t="s">
        <v>17</v>
      </c>
      <c r="H19" s="1" t="s">
        <v>53</v>
      </c>
      <c r="I19" s="1" t="s">
        <v>19</v>
      </c>
      <c r="J19" s="12">
        <v>22.9</v>
      </c>
      <c r="K19" s="1" t="s">
        <v>46</v>
      </c>
      <c r="L19" s="1" t="s">
        <v>21</v>
      </c>
    </row>
    <row r="20" spans="1:12" x14ac:dyDescent="0.25">
      <c r="A20" s="1" t="s">
        <v>95</v>
      </c>
      <c r="B20" s="1" t="s">
        <v>96</v>
      </c>
      <c r="C20" s="1" t="s">
        <v>97</v>
      </c>
      <c r="D20" s="1" t="s">
        <v>24</v>
      </c>
      <c r="E20" s="2">
        <v>45936.342361111114</v>
      </c>
      <c r="F20" s="1" t="s">
        <v>98</v>
      </c>
      <c r="G20" s="1" t="s">
        <v>26</v>
      </c>
      <c r="H20" s="1" t="s">
        <v>45</v>
      </c>
      <c r="I20" s="1" t="s">
        <v>27</v>
      </c>
      <c r="J20" s="12">
        <v>31.9</v>
      </c>
      <c r="K20" s="1" t="s">
        <v>28</v>
      </c>
      <c r="L20" s="1" t="s">
        <v>29</v>
      </c>
    </row>
    <row r="21" spans="1:12" x14ac:dyDescent="0.25">
      <c r="A21" s="1" t="s">
        <v>99</v>
      </c>
      <c r="B21" s="1" t="s">
        <v>100</v>
      </c>
      <c r="C21" s="1" t="s">
        <v>14</v>
      </c>
      <c r="D21" s="1" t="s">
        <v>24</v>
      </c>
      <c r="E21" s="2">
        <v>45936.453472222223</v>
      </c>
      <c r="F21" s="1" t="s">
        <v>101</v>
      </c>
      <c r="G21" s="1" t="s">
        <v>17</v>
      </c>
      <c r="H21" s="1" t="s">
        <v>38</v>
      </c>
      <c r="I21" s="1" t="s">
        <v>27</v>
      </c>
      <c r="J21" s="12">
        <v>40.9</v>
      </c>
      <c r="K21" s="1" t="s">
        <v>102</v>
      </c>
      <c r="L21" s="1" t="s">
        <v>41</v>
      </c>
    </row>
    <row r="22" spans="1:12" x14ac:dyDescent="0.25">
      <c r="A22" s="1" t="s">
        <v>103</v>
      </c>
      <c r="B22" s="1" t="s">
        <v>104</v>
      </c>
      <c r="C22" s="1" t="s">
        <v>14</v>
      </c>
      <c r="D22" s="1" t="s">
        <v>24</v>
      </c>
      <c r="E22" s="2">
        <v>45936.664583333331</v>
      </c>
      <c r="F22" s="1" t="s">
        <v>76</v>
      </c>
      <c r="G22" s="1" t="s">
        <v>26</v>
      </c>
      <c r="H22" s="1" t="s">
        <v>45</v>
      </c>
      <c r="I22" s="1" t="s">
        <v>19</v>
      </c>
      <c r="J22" s="12">
        <v>3.9</v>
      </c>
      <c r="K22" s="1" t="s">
        <v>55</v>
      </c>
      <c r="L22" s="1" t="s">
        <v>29</v>
      </c>
    </row>
    <row r="23" spans="1:12" x14ac:dyDescent="0.25">
      <c r="A23" s="1" t="s">
        <v>105</v>
      </c>
      <c r="B23" s="1" t="s">
        <v>106</v>
      </c>
      <c r="C23" s="1" t="s">
        <v>97</v>
      </c>
      <c r="D23" s="1" t="s">
        <v>24</v>
      </c>
      <c r="E23" s="2">
        <v>45937.376388888886</v>
      </c>
      <c r="F23" s="1" t="s">
        <v>50</v>
      </c>
      <c r="G23" s="1" t="s">
        <v>17</v>
      </c>
      <c r="H23" s="1" t="s">
        <v>71</v>
      </c>
      <c r="I23" s="1" t="s">
        <v>19</v>
      </c>
      <c r="J23" s="12">
        <v>27.6</v>
      </c>
      <c r="K23" s="1" t="s">
        <v>46</v>
      </c>
      <c r="L23" s="1" t="s">
        <v>47</v>
      </c>
    </row>
    <row r="24" spans="1:12" x14ac:dyDescent="0.25">
      <c r="A24" s="1" t="s">
        <v>107</v>
      </c>
      <c r="B24" s="1" t="s">
        <v>108</v>
      </c>
      <c r="C24" s="1" t="s">
        <v>14</v>
      </c>
      <c r="D24" s="1" t="s">
        <v>24</v>
      </c>
      <c r="E24" s="2">
        <v>45937.640277777777</v>
      </c>
      <c r="F24" s="1" t="s">
        <v>109</v>
      </c>
      <c r="G24" s="1" t="s">
        <v>17</v>
      </c>
      <c r="H24" s="1" t="s">
        <v>18</v>
      </c>
      <c r="I24" s="1" t="s">
        <v>54</v>
      </c>
      <c r="J24" s="12">
        <v>15.2</v>
      </c>
      <c r="K24" s="1" t="s">
        <v>110</v>
      </c>
      <c r="L24" s="1" t="s">
        <v>21</v>
      </c>
    </row>
    <row r="25" spans="1:12" x14ac:dyDescent="0.25">
      <c r="A25" s="1" t="s">
        <v>111</v>
      </c>
      <c r="B25" s="1" t="s">
        <v>112</v>
      </c>
      <c r="C25" s="1" t="s">
        <v>113</v>
      </c>
      <c r="D25" s="1" t="s">
        <v>24</v>
      </c>
      <c r="E25" s="2">
        <v>45937.777777777781</v>
      </c>
      <c r="F25" s="1" t="s">
        <v>114</v>
      </c>
      <c r="G25" s="1" t="s">
        <v>26</v>
      </c>
      <c r="H25" s="1" t="s">
        <v>45</v>
      </c>
      <c r="I25" s="1" t="s">
        <v>54</v>
      </c>
      <c r="J25" s="12">
        <v>0</v>
      </c>
      <c r="K25" s="1" t="s">
        <v>73</v>
      </c>
      <c r="L25" s="1" t="s">
        <v>41</v>
      </c>
    </row>
    <row r="26" spans="1:12" x14ac:dyDescent="0.25">
      <c r="A26" s="1" t="s">
        <v>115</v>
      </c>
      <c r="B26" s="1" t="s">
        <v>116</v>
      </c>
      <c r="C26" s="1" t="s">
        <v>14</v>
      </c>
      <c r="D26" s="1" t="s">
        <v>24</v>
      </c>
      <c r="E26" s="2">
        <v>45938.549305555556</v>
      </c>
      <c r="F26" s="1" t="s">
        <v>50</v>
      </c>
      <c r="G26" s="1" t="s">
        <v>17</v>
      </c>
      <c r="H26" s="1" t="s">
        <v>18</v>
      </c>
      <c r="I26" s="1" t="s">
        <v>72</v>
      </c>
      <c r="J26" s="12">
        <v>46.6</v>
      </c>
      <c r="K26" s="1" t="s">
        <v>46</v>
      </c>
      <c r="L26" s="1" t="s">
        <v>21</v>
      </c>
    </row>
    <row r="27" spans="1:12" x14ac:dyDescent="0.25">
      <c r="A27" s="1" t="s">
        <v>117</v>
      </c>
      <c r="B27" s="1" t="s">
        <v>118</v>
      </c>
      <c r="C27" s="1" t="s">
        <v>97</v>
      </c>
      <c r="D27" s="1" t="s">
        <v>24</v>
      </c>
      <c r="E27" s="2">
        <v>45938.597916666666</v>
      </c>
      <c r="F27" s="1" t="s">
        <v>32</v>
      </c>
      <c r="G27" s="1" t="s">
        <v>17</v>
      </c>
      <c r="H27" s="1" t="s">
        <v>71</v>
      </c>
      <c r="I27" s="1" t="s">
        <v>19</v>
      </c>
      <c r="J27" s="12">
        <v>26.4</v>
      </c>
      <c r="K27" s="1" t="s">
        <v>110</v>
      </c>
      <c r="L27" s="1" t="s">
        <v>29</v>
      </c>
    </row>
    <row r="28" spans="1:12" x14ac:dyDescent="0.25">
      <c r="A28" s="1" t="s">
        <v>119</v>
      </c>
      <c r="B28" s="1" t="s">
        <v>120</v>
      </c>
      <c r="C28" s="1" t="s">
        <v>14</v>
      </c>
      <c r="D28" s="1" t="s">
        <v>24</v>
      </c>
      <c r="E28" s="2">
        <v>45938.69027777778</v>
      </c>
      <c r="F28" s="1" t="s">
        <v>101</v>
      </c>
      <c r="G28" s="1" t="s">
        <v>17</v>
      </c>
      <c r="H28" s="1" t="s">
        <v>121</v>
      </c>
      <c r="I28" s="1" t="s">
        <v>34</v>
      </c>
      <c r="J28" s="12">
        <v>38.5</v>
      </c>
      <c r="K28" s="1" t="s">
        <v>28</v>
      </c>
      <c r="L28" s="1" t="s">
        <v>21</v>
      </c>
    </row>
    <row r="29" spans="1:12" x14ac:dyDescent="0.25">
      <c r="A29" s="1" t="s">
        <v>122</v>
      </c>
      <c r="B29" s="1" t="s">
        <v>123</v>
      </c>
      <c r="C29" s="1" t="s">
        <v>58</v>
      </c>
      <c r="D29" s="1" t="s">
        <v>63</v>
      </c>
      <c r="E29" s="2">
        <v>45938.739583333336</v>
      </c>
      <c r="F29" s="1" t="s">
        <v>32</v>
      </c>
      <c r="G29" s="1" t="s">
        <v>17</v>
      </c>
      <c r="H29" s="1" t="s">
        <v>124</v>
      </c>
      <c r="I29" s="1" t="s">
        <v>39</v>
      </c>
      <c r="J29" s="12">
        <v>0</v>
      </c>
      <c r="K29" s="1" t="s">
        <v>40</v>
      </c>
      <c r="L29" s="1" t="s">
        <v>47</v>
      </c>
    </row>
    <row r="30" spans="1:12" x14ac:dyDescent="0.25">
      <c r="A30" s="1" t="s">
        <v>125</v>
      </c>
      <c r="B30" s="1" t="s">
        <v>126</v>
      </c>
      <c r="C30" s="1" t="s">
        <v>14</v>
      </c>
      <c r="D30" s="1" t="s">
        <v>15</v>
      </c>
      <c r="E30" s="2">
        <v>45939.363888888889</v>
      </c>
      <c r="F30" s="1" t="s">
        <v>127</v>
      </c>
      <c r="G30" s="1" t="s">
        <v>17</v>
      </c>
      <c r="H30" s="1" t="s">
        <v>38</v>
      </c>
      <c r="I30" s="1" t="s">
        <v>34</v>
      </c>
      <c r="J30" s="12">
        <v>29.5</v>
      </c>
      <c r="K30" s="1" t="s">
        <v>28</v>
      </c>
      <c r="L30" s="1" t="s">
        <v>21</v>
      </c>
    </row>
    <row r="31" spans="1:12" x14ac:dyDescent="0.25">
      <c r="A31" s="1" t="s">
        <v>128</v>
      </c>
      <c r="B31" s="1" t="s">
        <v>129</v>
      </c>
      <c r="C31" s="1" t="s">
        <v>58</v>
      </c>
      <c r="D31" s="1" t="s">
        <v>24</v>
      </c>
      <c r="E31" s="2">
        <v>45939.753472222219</v>
      </c>
      <c r="F31" s="1" t="s">
        <v>109</v>
      </c>
      <c r="G31" s="1" t="s">
        <v>17</v>
      </c>
      <c r="H31" s="1" t="s">
        <v>124</v>
      </c>
      <c r="I31" s="1" t="s">
        <v>19</v>
      </c>
      <c r="J31" s="12">
        <v>0</v>
      </c>
      <c r="K31" s="1" t="s">
        <v>46</v>
      </c>
      <c r="L31" s="1" t="s">
        <v>29</v>
      </c>
    </row>
    <row r="32" spans="1:12" x14ac:dyDescent="0.25">
      <c r="A32" s="1" t="s">
        <v>130</v>
      </c>
      <c r="B32" s="1" t="s">
        <v>131</v>
      </c>
      <c r="C32" s="1" t="s">
        <v>58</v>
      </c>
      <c r="D32" s="1" t="s">
        <v>15</v>
      </c>
      <c r="E32" s="2">
        <v>45939.771527777775</v>
      </c>
      <c r="F32" s="1" t="s">
        <v>109</v>
      </c>
      <c r="G32" s="1" t="s">
        <v>17</v>
      </c>
      <c r="H32" s="1" t="s">
        <v>71</v>
      </c>
      <c r="I32" s="1" t="s">
        <v>72</v>
      </c>
      <c r="J32" s="12">
        <v>0</v>
      </c>
      <c r="K32" s="1" t="s">
        <v>20</v>
      </c>
      <c r="L32" s="1" t="s">
        <v>47</v>
      </c>
    </row>
    <row r="33" spans="1:12" x14ac:dyDescent="0.25">
      <c r="A33" s="1" t="s">
        <v>132</v>
      </c>
      <c r="B33" s="1" t="s">
        <v>133</v>
      </c>
      <c r="C33" s="1" t="s">
        <v>14</v>
      </c>
      <c r="D33" s="1" t="s">
        <v>85</v>
      </c>
      <c r="E33" s="2">
        <v>45940.423611111109</v>
      </c>
      <c r="F33" s="1" t="s">
        <v>101</v>
      </c>
      <c r="G33" s="1" t="s">
        <v>17</v>
      </c>
      <c r="H33" s="1" t="s">
        <v>33</v>
      </c>
      <c r="I33" s="1" t="s">
        <v>19</v>
      </c>
      <c r="J33" s="12">
        <v>46.2</v>
      </c>
      <c r="K33" s="1" t="s">
        <v>40</v>
      </c>
      <c r="L33" s="1" t="s">
        <v>29</v>
      </c>
    </row>
    <row r="34" spans="1:12" x14ac:dyDescent="0.25">
      <c r="A34" s="1" t="s">
        <v>134</v>
      </c>
      <c r="B34" s="1" t="s">
        <v>135</v>
      </c>
      <c r="C34" s="1" t="s">
        <v>97</v>
      </c>
      <c r="D34" s="1" t="s">
        <v>85</v>
      </c>
      <c r="E34" s="2">
        <v>45940.585416666669</v>
      </c>
      <c r="F34" s="1" t="s">
        <v>136</v>
      </c>
      <c r="G34" s="1" t="s">
        <v>26</v>
      </c>
      <c r="H34" s="1" t="s">
        <v>38</v>
      </c>
      <c r="I34" s="1" t="s">
        <v>27</v>
      </c>
      <c r="J34" s="12">
        <v>10.1</v>
      </c>
      <c r="K34" s="1" t="s">
        <v>110</v>
      </c>
      <c r="L34" s="1" t="s">
        <v>41</v>
      </c>
    </row>
    <row r="35" spans="1:12" x14ac:dyDescent="0.25">
      <c r="A35" s="1" t="s">
        <v>137</v>
      </c>
      <c r="B35" s="1" t="s">
        <v>138</v>
      </c>
      <c r="C35" s="1" t="s">
        <v>113</v>
      </c>
      <c r="D35" s="1" t="s">
        <v>15</v>
      </c>
      <c r="E35" s="2">
        <v>45940.644444444442</v>
      </c>
      <c r="F35" s="1" t="s">
        <v>139</v>
      </c>
      <c r="G35" s="1" t="s">
        <v>17</v>
      </c>
      <c r="H35" s="1" t="s">
        <v>121</v>
      </c>
      <c r="I35" s="1" t="s">
        <v>54</v>
      </c>
      <c r="J35" s="12">
        <v>0</v>
      </c>
      <c r="K35" s="1" t="s">
        <v>55</v>
      </c>
      <c r="L35" s="1" t="s">
        <v>21</v>
      </c>
    </row>
    <row r="36" spans="1:12" x14ac:dyDescent="0.25">
      <c r="A36" s="1" t="s">
        <v>140</v>
      </c>
      <c r="B36" s="1" t="s">
        <v>141</v>
      </c>
      <c r="C36" s="1" t="s">
        <v>14</v>
      </c>
      <c r="D36" s="1" t="s">
        <v>24</v>
      </c>
      <c r="E36" s="2">
        <v>45941.512499999997</v>
      </c>
      <c r="F36" s="1" t="s">
        <v>101</v>
      </c>
      <c r="G36" s="1" t="s">
        <v>17</v>
      </c>
      <c r="H36" s="1" t="s">
        <v>53</v>
      </c>
      <c r="I36" s="1" t="s">
        <v>72</v>
      </c>
      <c r="J36" s="12">
        <v>34</v>
      </c>
      <c r="K36" s="1" t="s">
        <v>67</v>
      </c>
      <c r="L36" s="1" t="s">
        <v>29</v>
      </c>
    </row>
    <row r="37" spans="1:12" x14ac:dyDescent="0.25">
      <c r="A37" s="1" t="s">
        <v>142</v>
      </c>
      <c r="B37" s="1" t="s">
        <v>143</v>
      </c>
      <c r="C37" s="1" t="s">
        <v>14</v>
      </c>
      <c r="D37" s="1" t="s">
        <v>24</v>
      </c>
      <c r="E37" s="2">
        <v>45941.714583333334</v>
      </c>
      <c r="F37" s="1" t="s">
        <v>109</v>
      </c>
      <c r="G37" s="1" t="s">
        <v>17</v>
      </c>
      <c r="H37" s="1" t="s">
        <v>71</v>
      </c>
      <c r="I37" s="1" t="s">
        <v>39</v>
      </c>
      <c r="J37" s="12">
        <v>46.3</v>
      </c>
      <c r="K37" s="1" t="s">
        <v>28</v>
      </c>
      <c r="L37" s="1" t="s">
        <v>29</v>
      </c>
    </row>
    <row r="38" spans="1:12" x14ac:dyDescent="0.25">
      <c r="A38" s="1" t="s">
        <v>144</v>
      </c>
      <c r="B38" s="1" t="s">
        <v>145</v>
      </c>
      <c r="C38" s="1" t="s">
        <v>14</v>
      </c>
      <c r="D38" s="1" t="s">
        <v>24</v>
      </c>
      <c r="E38" s="2">
        <v>45941.770833333336</v>
      </c>
      <c r="F38" s="1" t="s">
        <v>146</v>
      </c>
      <c r="G38" s="1" t="s">
        <v>17</v>
      </c>
      <c r="H38" s="1" t="s">
        <v>124</v>
      </c>
      <c r="I38" s="1" t="s">
        <v>19</v>
      </c>
      <c r="J38" s="12">
        <v>21.2</v>
      </c>
      <c r="K38" s="1" t="s">
        <v>28</v>
      </c>
      <c r="L38" s="1" t="s">
        <v>47</v>
      </c>
    </row>
    <row r="39" spans="1:12" x14ac:dyDescent="0.25">
      <c r="A39" s="1" t="s">
        <v>147</v>
      </c>
      <c r="B39" s="1" t="s">
        <v>148</v>
      </c>
      <c r="C39" s="1" t="s">
        <v>14</v>
      </c>
      <c r="D39" s="1" t="s">
        <v>24</v>
      </c>
      <c r="E39" s="2">
        <v>45942.381249999999</v>
      </c>
      <c r="F39" s="1" t="s">
        <v>64</v>
      </c>
      <c r="G39" s="1" t="s">
        <v>26</v>
      </c>
      <c r="H39" s="1" t="s">
        <v>124</v>
      </c>
      <c r="I39" s="1" t="s">
        <v>19</v>
      </c>
      <c r="J39" s="12">
        <v>38.299999999999997</v>
      </c>
      <c r="K39" s="1" t="s">
        <v>110</v>
      </c>
      <c r="L39" s="1" t="s">
        <v>41</v>
      </c>
    </row>
    <row r="40" spans="1:12" x14ac:dyDescent="0.25">
      <c r="A40" s="1" t="s">
        <v>149</v>
      </c>
      <c r="B40" s="1" t="s">
        <v>150</v>
      </c>
      <c r="C40" s="1" t="s">
        <v>14</v>
      </c>
      <c r="D40" s="1" t="s">
        <v>24</v>
      </c>
      <c r="E40" s="2">
        <v>45942.409722222219</v>
      </c>
      <c r="F40" s="1" t="s">
        <v>136</v>
      </c>
      <c r="G40" s="1" t="s">
        <v>26</v>
      </c>
      <c r="H40" s="1" t="s">
        <v>38</v>
      </c>
      <c r="I40" s="1" t="s">
        <v>19</v>
      </c>
      <c r="J40" s="12">
        <v>34.200000000000003</v>
      </c>
      <c r="K40" s="1" t="s">
        <v>55</v>
      </c>
      <c r="L40" s="1" t="s">
        <v>47</v>
      </c>
    </row>
    <row r="41" spans="1:12" x14ac:dyDescent="0.25">
      <c r="A41" s="1" t="s">
        <v>151</v>
      </c>
      <c r="B41" s="1" t="s">
        <v>152</v>
      </c>
      <c r="C41" s="1" t="s">
        <v>14</v>
      </c>
      <c r="D41" s="1" t="s">
        <v>24</v>
      </c>
      <c r="E41" s="2">
        <v>45942.603472222225</v>
      </c>
      <c r="F41" s="1" t="s">
        <v>139</v>
      </c>
      <c r="G41" s="1" t="s">
        <v>17</v>
      </c>
      <c r="H41" s="1" t="s">
        <v>33</v>
      </c>
      <c r="I41" s="1" t="s">
        <v>19</v>
      </c>
      <c r="J41" s="12">
        <v>45.2</v>
      </c>
      <c r="K41" s="1" t="s">
        <v>55</v>
      </c>
      <c r="L41" s="1" t="s">
        <v>21</v>
      </c>
    </row>
    <row r="42" spans="1:12" x14ac:dyDescent="0.25">
      <c r="A42" s="1" t="s">
        <v>153</v>
      </c>
      <c r="B42" s="1" t="s">
        <v>154</v>
      </c>
      <c r="C42" s="1" t="s">
        <v>14</v>
      </c>
      <c r="D42" s="1" t="s">
        <v>24</v>
      </c>
      <c r="E42" s="2">
        <v>45942.741666666669</v>
      </c>
      <c r="F42" s="1" t="s">
        <v>146</v>
      </c>
      <c r="G42" s="1" t="s">
        <v>17</v>
      </c>
      <c r="H42" s="1" t="s">
        <v>18</v>
      </c>
      <c r="I42" s="1" t="s">
        <v>39</v>
      </c>
      <c r="J42" s="12">
        <v>29.8</v>
      </c>
      <c r="K42" s="1" t="s">
        <v>73</v>
      </c>
      <c r="L42" s="1" t="s">
        <v>21</v>
      </c>
    </row>
    <row r="43" spans="1:12" x14ac:dyDescent="0.25">
      <c r="A43" s="1" t="s">
        <v>155</v>
      </c>
      <c r="B43" s="1" t="s">
        <v>156</v>
      </c>
      <c r="C43" s="1" t="s">
        <v>58</v>
      </c>
      <c r="D43" s="1" t="s">
        <v>24</v>
      </c>
      <c r="E43" s="2">
        <v>45943.447916666664</v>
      </c>
      <c r="F43" s="1" t="s">
        <v>109</v>
      </c>
      <c r="G43" s="1" t="s">
        <v>17</v>
      </c>
      <c r="H43" s="1" t="s">
        <v>33</v>
      </c>
      <c r="I43" s="1" t="s">
        <v>27</v>
      </c>
      <c r="J43" s="12">
        <v>0</v>
      </c>
      <c r="K43" s="1" t="s">
        <v>102</v>
      </c>
      <c r="L43" s="1" t="s">
        <v>29</v>
      </c>
    </row>
    <row r="44" spans="1:12" x14ac:dyDescent="0.25">
      <c r="A44" s="1" t="s">
        <v>157</v>
      </c>
      <c r="B44" s="1" t="s">
        <v>158</v>
      </c>
      <c r="C44" s="1" t="s">
        <v>14</v>
      </c>
      <c r="D44" s="1" t="s">
        <v>24</v>
      </c>
      <c r="E44" s="2">
        <v>45943.550694444442</v>
      </c>
      <c r="F44" s="1" t="s">
        <v>50</v>
      </c>
      <c r="G44" s="1" t="s">
        <v>17</v>
      </c>
      <c r="H44" s="1" t="s">
        <v>121</v>
      </c>
      <c r="I44" s="1" t="s">
        <v>34</v>
      </c>
      <c r="J44" s="12">
        <v>22.8</v>
      </c>
      <c r="K44" s="1" t="s">
        <v>110</v>
      </c>
      <c r="L44" s="1" t="s">
        <v>47</v>
      </c>
    </row>
    <row r="45" spans="1:12" x14ac:dyDescent="0.25">
      <c r="A45" s="1" t="s">
        <v>159</v>
      </c>
      <c r="B45" s="1" t="s">
        <v>160</v>
      </c>
      <c r="C45" s="1" t="s">
        <v>14</v>
      </c>
      <c r="D45" s="1" t="s">
        <v>24</v>
      </c>
      <c r="E45" s="2">
        <v>45943.61041666667</v>
      </c>
      <c r="F45" s="1" t="s">
        <v>98</v>
      </c>
      <c r="G45" s="1" t="s">
        <v>26</v>
      </c>
      <c r="H45" s="1" t="s">
        <v>38</v>
      </c>
      <c r="I45" s="1" t="s">
        <v>39</v>
      </c>
      <c r="J45" s="12">
        <v>19.8</v>
      </c>
      <c r="K45" s="1" t="s">
        <v>67</v>
      </c>
      <c r="L45" s="1" t="s">
        <v>41</v>
      </c>
    </row>
    <row r="46" spans="1:12" x14ac:dyDescent="0.25">
      <c r="A46" s="1" t="s">
        <v>161</v>
      </c>
      <c r="B46" s="1" t="s">
        <v>162</v>
      </c>
      <c r="C46" s="1" t="s">
        <v>113</v>
      </c>
      <c r="D46" s="1" t="s">
        <v>24</v>
      </c>
      <c r="E46" s="2">
        <v>45943.682638888888</v>
      </c>
      <c r="F46" s="1" t="s">
        <v>70</v>
      </c>
      <c r="G46" s="1" t="s">
        <v>17</v>
      </c>
      <c r="H46" s="1" t="s">
        <v>18</v>
      </c>
      <c r="I46" s="1" t="s">
        <v>72</v>
      </c>
      <c r="J46" s="12">
        <v>0</v>
      </c>
      <c r="K46" s="1" t="s">
        <v>55</v>
      </c>
      <c r="L46" s="1" t="s">
        <v>21</v>
      </c>
    </row>
    <row r="47" spans="1:12" x14ac:dyDescent="0.25">
      <c r="A47" s="1" t="s">
        <v>163</v>
      </c>
      <c r="B47" s="1" t="s">
        <v>164</v>
      </c>
      <c r="C47" s="1" t="s">
        <v>14</v>
      </c>
      <c r="D47" s="1" t="s">
        <v>24</v>
      </c>
      <c r="E47" s="2">
        <v>45943.692361111112</v>
      </c>
      <c r="F47" s="1" t="s">
        <v>76</v>
      </c>
      <c r="G47" s="1" t="s">
        <v>26</v>
      </c>
      <c r="H47" s="1" t="s">
        <v>18</v>
      </c>
      <c r="I47" s="1" t="s">
        <v>34</v>
      </c>
      <c r="J47" s="12">
        <v>5.9</v>
      </c>
      <c r="K47" s="1" t="s">
        <v>102</v>
      </c>
      <c r="L47" s="1" t="s">
        <v>41</v>
      </c>
    </row>
    <row r="48" spans="1:12" x14ac:dyDescent="0.25">
      <c r="A48" s="1" t="s">
        <v>165</v>
      </c>
      <c r="B48" s="1" t="s">
        <v>166</v>
      </c>
      <c r="C48" s="1" t="s">
        <v>14</v>
      </c>
      <c r="D48" s="1" t="s">
        <v>24</v>
      </c>
      <c r="E48" s="2">
        <v>45943.713194444441</v>
      </c>
      <c r="F48" s="1" t="s">
        <v>94</v>
      </c>
      <c r="G48" s="1" t="s">
        <v>17</v>
      </c>
      <c r="H48" s="1" t="s">
        <v>18</v>
      </c>
      <c r="I48" s="1" t="s">
        <v>34</v>
      </c>
      <c r="J48" s="12">
        <v>30.6</v>
      </c>
      <c r="K48" s="1" t="s">
        <v>40</v>
      </c>
      <c r="L48" s="1" t="s">
        <v>29</v>
      </c>
    </row>
    <row r="49" spans="1:12" x14ac:dyDescent="0.25">
      <c r="A49" s="1" t="s">
        <v>167</v>
      </c>
      <c r="B49" s="1" t="s">
        <v>168</v>
      </c>
      <c r="C49" s="1" t="s">
        <v>14</v>
      </c>
      <c r="D49" s="1" t="s">
        <v>24</v>
      </c>
      <c r="E49" s="2">
        <v>45943.723611111112</v>
      </c>
      <c r="F49" s="1" t="s">
        <v>109</v>
      </c>
      <c r="G49" s="1" t="s">
        <v>17</v>
      </c>
      <c r="H49" s="1" t="s">
        <v>18</v>
      </c>
      <c r="I49" s="1" t="s">
        <v>72</v>
      </c>
      <c r="J49" s="12">
        <v>45.3</v>
      </c>
      <c r="K49" s="1" t="s">
        <v>110</v>
      </c>
      <c r="L49" s="1" t="s">
        <v>47</v>
      </c>
    </row>
    <row r="50" spans="1:12" x14ac:dyDescent="0.25">
      <c r="A50" s="1" t="s">
        <v>169</v>
      </c>
      <c r="B50" s="1" t="s">
        <v>170</v>
      </c>
      <c r="C50" s="1" t="s">
        <v>97</v>
      </c>
      <c r="D50" s="1" t="s">
        <v>24</v>
      </c>
      <c r="E50" s="2">
        <v>45943.740972222222</v>
      </c>
      <c r="F50" s="1" t="s">
        <v>101</v>
      </c>
      <c r="G50" s="1" t="s">
        <v>17</v>
      </c>
      <c r="H50" s="1" t="s">
        <v>124</v>
      </c>
      <c r="I50" s="1" t="s">
        <v>19</v>
      </c>
      <c r="J50" s="12">
        <v>38.4</v>
      </c>
      <c r="K50" s="1" t="s">
        <v>73</v>
      </c>
      <c r="L50" s="1" t="s">
        <v>21</v>
      </c>
    </row>
    <row r="51" spans="1:12" x14ac:dyDescent="0.25">
      <c r="A51" s="1" t="s">
        <v>171</v>
      </c>
      <c r="B51" s="1" t="s">
        <v>172</v>
      </c>
      <c r="C51" s="1" t="s">
        <v>14</v>
      </c>
      <c r="D51" s="1" t="s">
        <v>24</v>
      </c>
      <c r="E51" s="2">
        <v>45943.750694444447</v>
      </c>
      <c r="F51" s="1" t="s">
        <v>64</v>
      </c>
      <c r="G51" s="1" t="s">
        <v>26</v>
      </c>
      <c r="H51" s="1" t="s">
        <v>33</v>
      </c>
      <c r="I51" s="1" t="s">
        <v>19</v>
      </c>
      <c r="J51" s="12">
        <v>35.200000000000003</v>
      </c>
      <c r="K51" s="1" t="s">
        <v>73</v>
      </c>
      <c r="L51" s="1" t="s">
        <v>41</v>
      </c>
    </row>
    <row r="52" spans="1:12" x14ac:dyDescent="0.25">
      <c r="A52" s="1" t="s">
        <v>173</v>
      </c>
      <c r="B52" s="1" t="s">
        <v>174</v>
      </c>
      <c r="C52" s="1" t="s">
        <v>14</v>
      </c>
      <c r="D52" s="1" t="s">
        <v>24</v>
      </c>
      <c r="E52" s="2">
        <v>45944.343055555553</v>
      </c>
      <c r="F52" s="1" t="s">
        <v>88</v>
      </c>
      <c r="G52" s="1" t="s">
        <v>26</v>
      </c>
      <c r="H52" s="1" t="s">
        <v>45</v>
      </c>
      <c r="I52" s="1" t="s">
        <v>19</v>
      </c>
      <c r="J52" s="12">
        <v>41.9</v>
      </c>
      <c r="K52" s="1" t="s">
        <v>28</v>
      </c>
      <c r="L52" s="1" t="s">
        <v>21</v>
      </c>
    </row>
    <row r="53" spans="1:12" x14ac:dyDescent="0.25">
      <c r="A53" s="1" t="s">
        <v>175</v>
      </c>
      <c r="B53" s="1" t="s">
        <v>176</v>
      </c>
      <c r="C53" s="1" t="s">
        <v>113</v>
      </c>
      <c r="D53" s="1" t="s">
        <v>85</v>
      </c>
      <c r="E53" s="2">
        <v>45944.375694444447</v>
      </c>
      <c r="F53" s="1" t="s">
        <v>146</v>
      </c>
      <c r="G53" s="1" t="s">
        <v>17</v>
      </c>
      <c r="H53" s="1" t="s">
        <v>18</v>
      </c>
      <c r="I53" s="1" t="s">
        <v>27</v>
      </c>
      <c r="J53" s="12">
        <v>0</v>
      </c>
      <c r="K53" s="1" t="s">
        <v>28</v>
      </c>
      <c r="L53" s="1" t="s">
        <v>21</v>
      </c>
    </row>
    <row r="54" spans="1:12" x14ac:dyDescent="0.25">
      <c r="A54" s="1" t="s">
        <v>177</v>
      </c>
      <c r="B54" s="1" t="s">
        <v>178</v>
      </c>
      <c r="C54" s="1" t="s">
        <v>14</v>
      </c>
      <c r="D54" s="1" t="s">
        <v>24</v>
      </c>
      <c r="E54" s="2">
        <v>45944.385416666664</v>
      </c>
      <c r="F54" s="1" t="s">
        <v>139</v>
      </c>
      <c r="G54" s="1" t="s">
        <v>17</v>
      </c>
      <c r="H54" s="1" t="s">
        <v>18</v>
      </c>
      <c r="I54" s="1" t="s">
        <v>39</v>
      </c>
      <c r="J54" s="12">
        <v>26.6</v>
      </c>
      <c r="K54" s="1" t="s">
        <v>40</v>
      </c>
      <c r="L54" s="1" t="s">
        <v>47</v>
      </c>
    </row>
    <row r="55" spans="1:12" x14ac:dyDescent="0.25">
      <c r="A55" s="1" t="s">
        <v>179</v>
      </c>
      <c r="B55" s="1" t="s">
        <v>180</v>
      </c>
      <c r="C55" s="1" t="s">
        <v>14</v>
      </c>
      <c r="D55" s="1" t="s">
        <v>24</v>
      </c>
      <c r="E55" s="2">
        <v>45944.387499999997</v>
      </c>
      <c r="F55" s="1" t="s">
        <v>181</v>
      </c>
      <c r="G55" s="1" t="s">
        <v>17</v>
      </c>
      <c r="H55" s="1" t="s">
        <v>124</v>
      </c>
      <c r="I55" s="1" t="s">
        <v>39</v>
      </c>
      <c r="J55" s="12">
        <v>38.5</v>
      </c>
      <c r="K55" s="1" t="s">
        <v>46</v>
      </c>
      <c r="L55" s="1" t="s">
        <v>29</v>
      </c>
    </row>
    <row r="56" spans="1:12" x14ac:dyDescent="0.25">
      <c r="A56" s="1" t="s">
        <v>182</v>
      </c>
      <c r="B56" s="1" t="s">
        <v>178</v>
      </c>
      <c r="C56" s="1" t="s">
        <v>14</v>
      </c>
      <c r="D56" s="1" t="s">
        <v>24</v>
      </c>
      <c r="E56" s="2">
        <v>45944.408333333333</v>
      </c>
      <c r="F56" s="1" t="s">
        <v>139</v>
      </c>
      <c r="G56" s="1" t="s">
        <v>17</v>
      </c>
      <c r="H56" s="1" t="s">
        <v>18</v>
      </c>
      <c r="I56" s="1" t="s">
        <v>34</v>
      </c>
      <c r="J56" s="12">
        <v>7.5</v>
      </c>
      <c r="K56" s="1" t="s">
        <v>46</v>
      </c>
      <c r="L56" s="1" t="s">
        <v>29</v>
      </c>
    </row>
    <row r="57" spans="1:12" x14ac:dyDescent="0.25">
      <c r="A57" s="1" t="s">
        <v>183</v>
      </c>
      <c r="B57" s="1" t="s">
        <v>184</v>
      </c>
      <c r="C57" s="1" t="s">
        <v>14</v>
      </c>
      <c r="D57" s="1" t="s">
        <v>24</v>
      </c>
      <c r="E57" s="2">
        <v>45944.559027777781</v>
      </c>
      <c r="F57" s="1" t="s">
        <v>70</v>
      </c>
      <c r="G57" s="1" t="s">
        <v>17</v>
      </c>
      <c r="H57" s="1" t="s">
        <v>18</v>
      </c>
      <c r="I57" s="1" t="s">
        <v>34</v>
      </c>
      <c r="J57" s="12">
        <v>36.1</v>
      </c>
      <c r="K57" s="1" t="s">
        <v>110</v>
      </c>
      <c r="L57" s="1" t="s">
        <v>21</v>
      </c>
    </row>
    <row r="58" spans="1:12" x14ac:dyDescent="0.25">
      <c r="A58" s="1" t="s">
        <v>185</v>
      </c>
      <c r="B58" s="1" t="s">
        <v>186</v>
      </c>
      <c r="C58" s="1" t="s">
        <v>14</v>
      </c>
      <c r="D58" s="1" t="s">
        <v>24</v>
      </c>
      <c r="E58" s="2">
        <v>45944.568055555559</v>
      </c>
      <c r="F58" s="1" t="s">
        <v>32</v>
      </c>
      <c r="G58" s="1" t="s">
        <v>17</v>
      </c>
      <c r="H58" s="1" t="s">
        <v>38</v>
      </c>
      <c r="I58" s="1" t="s">
        <v>54</v>
      </c>
      <c r="J58" s="12">
        <v>6.2</v>
      </c>
      <c r="K58" s="1" t="s">
        <v>20</v>
      </c>
      <c r="L58" s="1" t="s">
        <v>47</v>
      </c>
    </row>
    <row r="59" spans="1:12" x14ac:dyDescent="0.25">
      <c r="A59" s="1" t="s">
        <v>187</v>
      </c>
      <c r="B59" s="1" t="s">
        <v>100</v>
      </c>
      <c r="C59" s="1" t="s">
        <v>58</v>
      </c>
      <c r="D59" s="1" t="s">
        <v>24</v>
      </c>
      <c r="E59" s="2">
        <v>45944.645833333336</v>
      </c>
      <c r="F59" s="1" t="s">
        <v>101</v>
      </c>
      <c r="G59" s="1" t="s">
        <v>17</v>
      </c>
      <c r="H59" s="1" t="s">
        <v>38</v>
      </c>
      <c r="I59" s="1" t="s">
        <v>34</v>
      </c>
      <c r="J59" s="12">
        <v>0</v>
      </c>
      <c r="K59" s="1" t="s">
        <v>110</v>
      </c>
      <c r="L59" s="1" t="s">
        <v>41</v>
      </c>
    </row>
    <row r="60" spans="1:12" x14ac:dyDescent="0.25">
      <c r="A60" s="1" t="s">
        <v>188</v>
      </c>
      <c r="B60" s="1" t="s">
        <v>189</v>
      </c>
      <c r="C60" s="1" t="s">
        <v>58</v>
      </c>
      <c r="D60" s="1" t="s">
        <v>15</v>
      </c>
      <c r="E60" s="2">
        <v>45944.776388888888</v>
      </c>
      <c r="F60" s="1" t="s">
        <v>181</v>
      </c>
      <c r="G60" s="1" t="s">
        <v>17</v>
      </c>
      <c r="H60" s="1" t="s">
        <v>53</v>
      </c>
      <c r="I60" s="1" t="s">
        <v>27</v>
      </c>
      <c r="J60" s="12">
        <v>0</v>
      </c>
      <c r="K60" s="1" t="s">
        <v>60</v>
      </c>
      <c r="L60" s="1" t="s">
        <v>21</v>
      </c>
    </row>
    <row r="61" spans="1:12" x14ac:dyDescent="0.25">
      <c r="A61" s="1" t="s">
        <v>190</v>
      </c>
      <c r="B61" s="1" t="s">
        <v>191</v>
      </c>
      <c r="C61" s="1" t="s">
        <v>14</v>
      </c>
      <c r="D61" s="1" t="s">
        <v>85</v>
      </c>
      <c r="E61" s="2">
        <v>45945.511111111111</v>
      </c>
      <c r="F61" s="1" t="s">
        <v>192</v>
      </c>
      <c r="G61" s="1" t="s">
        <v>26</v>
      </c>
      <c r="H61" s="1" t="s">
        <v>33</v>
      </c>
      <c r="I61" s="1" t="s">
        <v>27</v>
      </c>
      <c r="J61" s="12">
        <v>7.9</v>
      </c>
      <c r="K61" s="1" t="s">
        <v>40</v>
      </c>
      <c r="L61" s="1" t="s">
        <v>41</v>
      </c>
    </row>
    <row r="62" spans="1:12" x14ac:dyDescent="0.25">
      <c r="A62" s="1" t="s">
        <v>193</v>
      </c>
      <c r="B62" s="1" t="s">
        <v>194</v>
      </c>
      <c r="C62" s="1" t="s">
        <v>14</v>
      </c>
      <c r="D62" s="1" t="s">
        <v>85</v>
      </c>
      <c r="E62" s="2">
        <v>45946.384722222225</v>
      </c>
      <c r="F62" s="1" t="s">
        <v>114</v>
      </c>
      <c r="G62" s="1" t="s">
        <v>26</v>
      </c>
      <c r="H62" s="1" t="s">
        <v>33</v>
      </c>
      <c r="I62" s="1" t="s">
        <v>72</v>
      </c>
      <c r="J62" s="12">
        <v>47.9</v>
      </c>
      <c r="K62" s="1" t="s">
        <v>28</v>
      </c>
      <c r="L62" s="1" t="s">
        <v>47</v>
      </c>
    </row>
    <row r="63" spans="1:12" x14ac:dyDescent="0.25">
      <c r="A63" s="1" t="s">
        <v>195</v>
      </c>
      <c r="B63" s="1" t="s">
        <v>196</v>
      </c>
      <c r="C63" s="1" t="s">
        <v>14</v>
      </c>
      <c r="D63" s="1" t="s">
        <v>24</v>
      </c>
      <c r="E63" s="2">
        <v>45946.394444444442</v>
      </c>
      <c r="F63" s="1" t="s">
        <v>181</v>
      </c>
      <c r="G63" s="1" t="s">
        <v>17</v>
      </c>
      <c r="H63" s="1" t="s">
        <v>18</v>
      </c>
      <c r="I63" s="1" t="s">
        <v>19</v>
      </c>
      <c r="J63" s="12">
        <v>29.3</v>
      </c>
      <c r="K63" s="1" t="s">
        <v>55</v>
      </c>
      <c r="L63" s="1" t="s">
        <v>41</v>
      </c>
    </row>
    <row r="64" spans="1:12" x14ac:dyDescent="0.25">
      <c r="A64" s="1" t="s">
        <v>197</v>
      </c>
      <c r="B64" s="1" t="s">
        <v>198</v>
      </c>
      <c r="C64" s="1" t="s">
        <v>14</v>
      </c>
      <c r="D64" s="1" t="s">
        <v>24</v>
      </c>
      <c r="E64" s="2">
        <v>45946.556250000001</v>
      </c>
      <c r="F64" s="1" t="s">
        <v>146</v>
      </c>
      <c r="G64" s="1" t="s">
        <v>17</v>
      </c>
      <c r="H64" s="1" t="s">
        <v>124</v>
      </c>
      <c r="I64" s="1" t="s">
        <v>27</v>
      </c>
      <c r="J64" s="12">
        <v>35.4</v>
      </c>
      <c r="K64" s="1" t="s">
        <v>60</v>
      </c>
      <c r="L64" s="1" t="s">
        <v>41</v>
      </c>
    </row>
    <row r="65" spans="1:12" x14ac:dyDescent="0.25">
      <c r="A65" s="1" t="s">
        <v>199</v>
      </c>
      <c r="B65" s="1" t="s">
        <v>200</v>
      </c>
      <c r="C65" s="1" t="s">
        <v>97</v>
      </c>
      <c r="D65" s="1" t="s">
        <v>15</v>
      </c>
      <c r="E65" s="2">
        <v>45946.558333333334</v>
      </c>
      <c r="F65" s="1" t="s">
        <v>91</v>
      </c>
      <c r="G65" s="1" t="s">
        <v>26</v>
      </c>
      <c r="H65" s="1" t="s">
        <v>38</v>
      </c>
      <c r="I65" s="1" t="s">
        <v>72</v>
      </c>
      <c r="J65" s="12">
        <v>13</v>
      </c>
      <c r="K65" s="1" t="s">
        <v>73</v>
      </c>
      <c r="L65" s="1" t="s">
        <v>47</v>
      </c>
    </row>
    <row r="66" spans="1:12" x14ac:dyDescent="0.25">
      <c r="A66" s="1" t="s">
        <v>201</v>
      </c>
      <c r="B66" s="1" t="s">
        <v>202</v>
      </c>
      <c r="C66" s="1" t="s">
        <v>58</v>
      </c>
      <c r="D66" s="1" t="s">
        <v>15</v>
      </c>
      <c r="E66" s="2">
        <v>45946.59375</v>
      </c>
      <c r="F66" s="1" t="s">
        <v>127</v>
      </c>
      <c r="G66" s="1" t="s">
        <v>17</v>
      </c>
      <c r="H66" s="1" t="s">
        <v>121</v>
      </c>
      <c r="I66" s="1" t="s">
        <v>19</v>
      </c>
      <c r="J66" s="12">
        <v>0</v>
      </c>
      <c r="K66" s="1" t="s">
        <v>55</v>
      </c>
      <c r="L66" s="1" t="s">
        <v>29</v>
      </c>
    </row>
    <row r="67" spans="1:12" x14ac:dyDescent="0.25">
      <c r="A67" s="1" t="s">
        <v>203</v>
      </c>
      <c r="B67" s="1" t="s">
        <v>204</v>
      </c>
      <c r="C67" s="1" t="s">
        <v>113</v>
      </c>
      <c r="D67" s="1" t="s">
        <v>24</v>
      </c>
      <c r="E67" s="2">
        <v>45947.606944444444</v>
      </c>
      <c r="F67" s="1" t="s">
        <v>146</v>
      </c>
      <c r="G67" s="1" t="s">
        <v>17</v>
      </c>
      <c r="H67" s="1" t="s">
        <v>71</v>
      </c>
      <c r="I67" s="1" t="s">
        <v>27</v>
      </c>
      <c r="J67" s="12">
        <v>0</v>
      </c>
      <c r="K67" s="1" t="s">
        <v>73</v>
      </c>
      <c r="L67" s="1" t="s">
        <v>47</v>
      </c>
    </row>
    <row r="68" spans="1:12" x14ac:dyDescent="0.25">
      <c r="A68" s="1" t="s">
        <v>205</v>
      </c>
      <c r="B68" s="1" t="s">
        <v>206</v>
      </c>
      <c r="C68" s="1" t="s">
        <v>97</v>
      </c>
      <c r="D68" s="1" t="s">
        <v>24</v>
      </c>
      <c r="E68" s="2">
        <v>45948.587500000001</v>
      </c>
      <c r="F68" s="1" t="s">
        <v>82</v>
      </c>
      <c r="G68" s="1" t="s">
        <v>26</v>
      </c>
      <c r="H68" s="1" t="s">
        <v>45</v>
      </c>
      <c r="I68" s="1" t="s">
        <v>19</v>
      </c>
      <c r="J68" s="12">
        <v>37.700000000000003</v>
      </c>
      <c r="K68" s="1" t="s">
        <v>67</v>
      </c>
      <c r="L68" s="1" t="s">
        <v>47</v>
      </c>
    </row>
    <row r="69" spans="1:12" x14ac:dyDescent="0.25">
      <c r="A69" s="1" t="s">
        <v>207</v>
      </c>
      <c r="B69" s="1" t="s">
        <v>208</v>
      </c>
      <c r="C69" s="1" t="s">
        <v>97</v>
      </c>
      <c r="D69" s="1" t="s">
        <v>15</v>
      </c>
      <c r="E69" s="2">
        <v>45948.654861111114</v>
      </c>
      <c r="F69" s="1" t="s">
        <v>209</v>
      </c>
      <c r="G69" s="1" t="s">
        <v>17</v>
      </c>
      <c r="H69" s="1" t="s">
        <v>33</v>
      </c>
      <c r="I69" s="1" t="s">
        <v>27</v>
      </c>
      <c r="J69" s="12">
        <v>47</v>
      </c>
      <c r="K69" s="1" t="s">
        <v>46</v>
      </c>
      <c r="L69" s="1" t="s">
        <v>21</v>
      </c>
    </row>
    <row r="70" spans="1:12" x14ac:dyDescent="0.25">
      <c r="A70" s="1" t="s">
        <v>210</v>
      </c>
      <c r="B70" s="1" t="s">
        <v>211</v>
      </c>
      <c r="C70" s="1" t="s">
        <v>14</v>
      </c>
      <c r="D70" s="1" t="s">
        <v>24</v>
      </c>
      <c r="E70" s="2">
        <v>45948.76666666667</v>
      </c>
      <c r="F70" s="1" t="s">
        <v>139</v>
      </c>
      <c r="G70" s="1" t="s">
        <v>17</v>
      </c>
      <c r="H70" s="1" t="s">
        <v>53</v>
      </c>
      <c r="I70" s="1" t="s">
        <v>72</v>
      </c>
      <c r="J70" s="12">
        <v>47.9</v>
      </c>
      <c r="K70" s="1" t="s">
        <v>20</v>
      </c>
      <c r="L70" s="1" t="s">
        <v>41</v>
      </c>
    </row>
    <row r="71" spans="1:12" x14ac:dyDescent="0.25">
      <c r="A71" s="1" t="s">
        <v>212</v>
      </c>
      <c r="B71" s="1" t="s">
        <v>213</v>
      </c>
      <c r="C71" s="1" t="s">
        <v>97</v>
      </c>
      <c r="D71" s="1" t="s">
        <v>24</v>
      </c>
      <c r="E71" s="2">
        <v>45949.368055555555</v>
      </c>
      <c r="F71" s="1" t="s">
        <v>139</v>
      </c>
      <c r="G71" s="1" t="s">
        <v>17</v>
      </c>
      <c r="H71" s="1" t="s">
        <v>33</v>
      </c>
      <c r="I71" s="1" t="s">
        <v>19</v>
      </c>
      <c r="J71" s="12">
        <v>19</v>
      </c>
      <c r="K71" s="1" t="s">
        <v>40</v>
      </c>
      <c r="L71" s="1" t="s">
        <v>47</v>
      </c>
    </row>
    <row r="72" spans="1:12" x14ac:dyDescent="0.25">
      <c r="A72" s="1" t="s">
        <v>214</v>
      </c>
      <c r="B72" s="1" t="s">
        <v>215</v>
      </c>
      <c r="C72" s="1" t="s">
        <v>113</v>
      </c>
      <c r="D72" s="1" t="s">
        <v>15</v>
      </c>
      <c r="E72" s="2">
        <v>45950.524305555555</v>
      </c>
      <c r="F72" s="1" t="s">
        <v>32</v>
      </c>
      <c r="G72" s="1" t="s">
        <v>17</v>
      </c>
      <c r="H72" s="1" t="s">
        <v>18</v>
      </c>
      <c r="I72" s="1" t="s">
        <v>34</v>
      </c>
      <c r="J72" s="12">
        <v>0</v>
      </c>
      <c r="K72" s="1" t="s">
        <v>110</v>
      </c>
      <c r="L72" s="1" t="s">
        <v>21</v>
      </c>
    </row>
    <row r="73" spans="1:12" x14ac:dyDescent="0.25">
      <c r="A73" s="1" t="s">
        <v>216</v>
      </c>
      <c r="B73" s="1" t="s">
        <v>217</v>
      </c>
      <c r="C73" s="1" t="s">
        <v>14</v>
      </c>
      <c r="D73" s="1" t="s">
        <v>24</v>
      </c>
      <c r="E73" s="2">
        <v>45950.552083333336</v>
      </c>
      <c r="F73" s="1" t="s">
        <v>209</v>
      </c>
      <c r="G73" s="1" t="s">
        <v>17</v>
      </c>
      <c r="H73" s="1" t="s">
        <v>53</v>
      </c>
      <c r="I73" s="1" t="s">
        <v>19</v>
      </c>
      <c r="J73" s="12">
        <v>12.7</v>
      </c>
      <c r="K73" s="1" t="s">
        <v>28</v>
      </c>
      <c r="L73" s="1" t="s">
        <v>41</v>
      </c>
    </row>
    <row r="74" spans="1:12" x14ac:dyDescent="0.25">
      <c r="A74" s="1" t="s">
        <v>218</v>
      </c>
      <c r="B74" s="1" t="s">
        <v>219</v>
      </c>
      <c r="C74" s="1" t="s">
        <v>14</v>
      </c>
      <c r="D74" s="1" t="s">
        <v>15</v>
      </c>
      <c r="E74" s="2">
        <v>45950.784722222219</v>
      </c>
      <c r="F74" s="1" t="s">
        <v>220</v>
      </c>
      <c r="G74" s="1" t="s">
        <v>17</v>
      </c>
      <c r="H74" s="1" t="s">
        <v>18</v>
      </c>
      <c r="I74" s="1" t="s">
        <v>72</v>
      </c>
      <c r="J74" s="12">
        <v>9.1</v>
      </c>
      <c r="K74" s="1" t="s">
        <v>28</v>
      </c>
      <c r="L74" s="1" t="s">
        <v>47</v>
      </c>
    </row>
    <row r="75" spans="1:12" x14ac:dyDescent="0.25">
      <c r="A75" s="1" t="s">
        <v>221</v>
      </c>
      <c r="B75" s="1" t="s">
        <v>222</v>
      </c>
      <c r="C75" s="1" t="s">
        <v>14</v>
      </c>
      <c r="D75" s="1" t="s">
        <v>85</v>
      </c>
      <c r="E75" s="2">
        <v>45951.462500000001</v>
      </c>
      <c r="F75" s="1" t="s">
        <v>37</v>
      </c>
      <c r="G75" s="1" t="s">
        <v>26</v>
      </c>
      <c r="H75" s="1" t="s">
        <v>33</v>
      </c>
      <c r="I75" s="1" t="s">
        <v>19</v>
      </c>
      <c r="J75" s="12">
        <v>6</v>
      </c>
      <c r="K75" s="1" t="s">
        <v>102</v>
      </c>
      <c r="L75" s="1" t="s">
        <v>41</v>
      </c>
    </row>
    <row r="76" spans="1:12" x14ac:dyDescent="0.25">
      <c r="A76" s="1" t="s">
        <v>223</v>
      </c>
      <c r="B76" s="1" t="s">
        <v>224</v>
      </c>
      <c r="C76" s="1" t="s">
        <v>14</v>
      </c>
      <c r="D76" s="1" t="s">
        <v>24</v>
      </c>
      <c r="E76" s="2">
        <v>45951.620138888888</v>
      </c>
      <c r="F76" s="1" t="s">
        <v>139</v>
      </c>
      <c r="G76" s="1" t="s">
        <v>17</v>
      </c>
      <c r="H76" s="1" t="s">
        <v>71</v>
      </c>
      <c r="I76" s="1" t="s">
        <v>72</v>
      </c>
      <c r="J76" s="12">
        <v>1.4</v>
      </c>
      <c r="K76" s="1" t="s">
        <v>40</v>
      </c>
      <c r="L76" s="1" t="s">
        <v>29</v>
      </c>
    </row>
    <row r="77" spans="1:12" x14ac:dyDescent="0.25">
      <c r="A77" s="1" t="s">
        <v>225</v>
      </c>
      <c r="B77" s="1" t="s">
        <v>226</v>
      </c>
      <c r="C77" s="1" t="s">
        <v>14</v>
      </c>
      <c r="D77" s="1" t="s">
        <v>24</v>
      </c>
      <c r="E77" s="2">
        <v>45951.689583333333</v>
      </c>
      <c r="F77" s="1" t="s">
        <v>16</v>
      </c>
      <c r="G77" s="1" t="s">
        <v>17</v>
      </c>
      <c r="H77" s="1" t="s">
        <v>124</v>
      </c>
      <c r="I77" s="1" t="s">
        <v>72</v>
      </c>
      <c r="J77" s="12">
        <v>9.9</v>
      </c>
      <c r="K77" s="1" t="s">
        <v>60</v>
      </c>
      <c r="L77" s="1" t="s">
        <v>47</v>
      </c>
    </row>
    <row r="78" spans="1:12" x14ac:dyDescent="0.25">
      <c r="A78" s="1" t="s">
        <v>227</v>
      </c>
      <c r="B78" s="1" t="s">
        <v>228</v>
      </c>
      <c r="C78" s="1" t="s">
        <v>14</v>
      </c>
      <c r="D78" s="1" t="s">
        <v>24</v>
      </c>
      <c r="E78" s="2">
        <v>45952.474999999999</v>
      </c>
      <c r="F78" s="1" t="s">
        <v>91</v>
      </c>
      <c r="G78" s="1" t="s">
        <v>26</v>
      </c>
      <c r="H78" s="1" t="s">
        <v>45</v>
      </c>
      <c r="I78" s="1" t="s">
        <v>34</v>
      </c>
      <c r="J78" s="12">
        <v>21.4</v>
      </c>
      <c r="K78" s="1" t="s">
        <v>67</v>
      </c>
      <c r="L78" s="1" t="s">
        <v>29</v>
      </c>
    </row>
    <row r="79" spans="1:12" x14ac:dyDescent="0.25">
      <c r="A79" s="1" t="s">
        <v>229</v>
      </c>
      <c r="B79" s="1" t="s">
        <v>230</v>
      </c>
      <c r="C79" s="1" t="s">
        <v>58</v>
      </c>
      <c r="D79" s="1" t="s">
        <v>15</v>
      </c>
      <c r="E79" s="2">
        <v>45952.743750000001</v>
      </c>
      <c r="F79" s="1" t="s">
        <v>220</v>
      </c>
      <c r="G79" s="1" t="s">
        <v>17</v>
      </c>
      <c r="H79" s="1" t="s">
        <v>33</v>
      </c>
      <c r="I79" s="1" t="s">
        <v>34</v>
      </c>
      <c r="J79" s="12">
        <v>0</v>
      </c>
      <c r="K79" s="1" t="s">
        <v>28</v>
      </c>
      <c r="L79" s="1" t="s">
        <v>29</v>
      </c>
    </row>
    <row r="80" spans="1:12" x14ac:dyDescent="0.25">
      <c r="A80" s="1" t="s">
        <v>231</v>
      </c>
      <c r="B80" s="1" t="s">
        <v>232</v>
      </c>
      <c r="C80" s="1" t="s">
        <v>113</v>
      </c>
      <c r="D80" s="1" t="s">
        <v>24</v>
      </c>
      <c r="E80" s="2">
        <v>45952.774305555555</v>
      </c>
      <c r="F80" s="1" t="s">
        <v>94</v>
      </c>
      <c r="G80" s="1" t="s">
        <v>17</v>
      </c>
      <c r="H80" s="1" t="s">
        <v>18</v>
      </c>
      <c r="I80" s="1" t="s">
        <v>54</v>
      </c>
      <c r="J80" s="12">
        <v>0</v>
      </c>
      <c r="K80" s="1" t="s">
        <v>40</v>
      </c>
      <c r="L80" s="1" t="s">
        <v>41</v>
      </c>
    </row>
    <row r="81" spans="1:12" x14ac:dyDescent="0.25">
      <c r="A81" s="1" t="s">
        <v>233</v>
      </c>
      <c r="B81" s="1" t="s">
        <v>234</v>
      </c>
      <c r="C81" s="1" t="s">
        <v>14</v>
      </c>
      <c r="D81" s="1" t="s">
        <v>85</v>
      </c>
      <c r="E81" s="2">
        <v>45953.529861111114</v>
      </c>
      <c r="F81" s="1" t="s">
        <v>25</v>
      </c>
      <c r="G81" s="1" t="s">
        <v>26</v>
      </c>
      <c r="H81" s="1" t="s">
        <v>38</v>
      </c>
      <c r="I81" s="1" t="s">
        <v>19</v>
      </c>
      <c r="J81" s="12">
        <v>44.1</v>
      </c>
      <c r="K81" s="1" t="s">
        <v>67</v>
      </c>
      <c r="L81" s="1" t="s">
        <v>41</v>
      </c>
    </row>
    <row r="82" spans="1:12" x14ac:dyDescent="0.25">
      <c r="A82" s="1" t="s">
        <v>235</v>
      </c>
      <c r="B82" s="1" t="s">
        <v>236</v>
      </c>
      <c r="C82" s="1" t="s">
        <v>14</v>
      </c>
      <c r="D82" s="1" t="s">
        <v>24</v>
      </c>
      <c r="E82" s="2">
        <v>45953.552083333336</v>
      </c>
      <c r="F82" s="1" t="s">
        <v>70</v>
      </c>
      <c r="G82" s="1" t="s">
        <v>17</v>
      </c>
      <c r="H82" s="1" t="s">
        <v>53</v>
      </c>
      <c r="I82" s="1" t="s">
        <v>34</v>
      </c>
      <c r="J82" s="12">
        <v>9.6999999999999993</v>
      </c>
      <c r="K82" s="1" t="s">
        <v>28</v>
      </c>
      <c r="L82" s="1" t="s">
        <v>21</v>
      </c>
    </row>
    <row r="83" spans="1:12" x14ac:dyDescent="0.25">
      <c r="A83" s="1" t="s">
        <v>237</v>
      </c>
      <c r="B83" s="1" t="s">
        <v>238</v>
      </c>
      <c r="C83" s="1" t="s">
        <v>14</v>
      </c>
      <c r="D83" s="1" t="s">
        <v>15</v>
      </c>
      <c r="E83" s="2">
        <v>45953.566666666666</v>
      </c>
      <c r="F83" s="1" t="s">
        <v>98</v>
      </c>
      <c r="G83" s="1" t="s">
        <v>26</v>
      </c>
      <c r="H83" s="1" t="s">
        <v>79</v>
      </c>
      <c r="I83" s="1" t="s">
        <v>54</v>
      </c>
      <c r="J83" s="12">
        <v>37.200000000000003</v>
      </c>
      <c r="K83" s="1" t="s">
        <v>102</v>
      </c>
      <c r="L83" s="1" t="s">
        <v>29</v>
      </c>
    </row>
    <row r="84" spans="1:12" x14ac:dyDescent="0.25">
      <c r="A84" s="1" t="s">
        <v>239</v>
      </c>
      <c r="B84" s="1" t="s">
        <v>240</v>
      </c>
      <c r="C84" s="1" t="s">
        <v>97</v>
      </c>
      <c r="D84" s="1" t="s">
        <v>85</v>
      </c>
      <c r="E84" s="2">
        <v>45953.694444444445</v>
      </c>
      <c r="F84" s="1" t="s">
        <v>76</v>
      </c>
      <c r="G84" s="1" t="s">
        <v>26</v>
      </c>
      <c r="H84" s="1" t="s">
        <v>121</v>
      </c>
      <c r="I84" s="1" t="s">
        <v>72</v>
      </c>
      <c r="J84" s="12">
        <v>48.3</v>
      </c>
      <c r="K84" s="1" t="s">
        <v>67</v>
      </c>
      <c r="L84" s="1" t="s">
        <v>29</v>
      </c>
    </row>
    <row r="85" spans="1:12" x14ac:dyDescent="0.25">
      <c r="A85" s="1" t="s">
        <v>241</v>
      </c>
      <c r="B85" s="1" t="s">
        <v>242</v>
      </c>
      <c r="C85" s="1" t="s">
        <v>97</v>
      </c>
      <c r="D85" s="1" t="s">
        <v>24</v>
      </c>
      <c r="E85" s="2">
        <v>45953.697222222225</v>
      </c>
      <c r="F85" s="1" t="s">
        <v>114</v>
      </c>
      <c r="G85" s="1" t="s">
        <v>26</v>
      </c>
      <c r="H85" s="1" t="s">
        <v>53</v>
      </c>
      <c r="I85" s="1" t="s">
        <v>72</v>
      </c>
      <c r="J85" s="12">
        <v>40.799999999999997</v>
      </c>
      <c r="K85" s="1" t="s">
        <v>20</v>
      </c>
      <c r="L85" s="1" t="s">
        <v>41</v>
      </c>
    </row>
    <row r="86" spans="1:12" x14ac:dyDescent="0.25">
      <c r="A86" s="1" t="s">
        <v>243</v>
      </c>
      <c r="B86" s="1" t="s">
        <v>244</v>
      </c>
      <c r="C86" s="1" t="s">
        <v>58</v>
      </c>
      <c r="D86" s="1" t="s">
        <v>24</v>
      </c>
      <c r="E86" s="2">
        <v>45953.744444444441</v>
      </c>
      <c r="F86" s="1" t="s">
        <v>25</v>
      </c>
      <c r="G86" s="1" t="s">
        <v>26</v>
      </c>
      <c r="H86" s="1" t="s">
        <v>45</v>
      </c>
      <c r="I86" s="1" t="s">
        <v>19</v>
      </c>
      <c r="J86" s="12">
        <v>0</v>
      </c>
      <c r="K86" s="1" t="s">
        <v>102</v>
      </c>
      <c r="L86" s="1" t="s">
        <v>29</v>
      </c>
    </row>
    <row r="87" spans="1:12" x14ac:dyDescent="0.25">
      <c r="A87" s="1" t="s">
        <v>245</v>
      </c>
      <c r="B87" s="1" t="s">
        <v>246</v>
      </c>
      <c r="C87" s="1" t="s">
        <v>97</v>
      </c>
      <c r="D87" s="1" t="s">
        <v>15</v>
      </c>
      <c r="E87" s="2">
        <v>45953.752083333333</v>
      </c>
      <c r="F87" s="1" t="s">
        <v>247</v>
      </c>
      <c r="G87" s="1" t="s">
        <v>26</v>
      </c>
      <c r="H87" s="1" t="s">
        <v>38</v>
      </c>
      <c r="I87" s="1" t="s">
        <v>19</v>
      </c>
      <c r="J87" s="12">
        <v>25.4</v>
      </c>
      <c r="K87" s="1" t="s">
        <v>28</v>
      </c>
      <c r="L87" s="1" t="s">
        <v>47</v>
      </c>
    </row>
    <row r="88" spans="1:12" x14ac:dyDescent="0.25">
      <c r="A88" s="1" t="s">
        <v>248</v>
      </c>
      <c r="B88" s="1" t="s">
        <v>249</v>
      </c>
      <c r="C88" s="1" t="s">
        <v>58</v>
      </c>
      <c r="D88" s="1" t="s">
        <v>15</v>
      </c>
      <c r="E88" s="2">
        <v>45954.71875</v>
      </c>
      <c r="F88" s="1" t="s">
        <v>94</v>
      </c>
      <c r="G88" s="1" t="s">
        <v>17</v>
      </c>
      <c r="H88" s="1" t="s">
        <v>18</v>
      </c>
      <c r="I88" s="1" t="s">
        <v>72</v>
      </c>
      <c r="J88" s="12">
        <v>0</v>
      </c>
      <c r="K88" s="1" t="s">
        <v>46</v>
      </c>
      <c r="L88" s="1" t="s">
        <v>21</v>
      </c>
    </row>
    <row r="89" spans="1:12" x14ac:dyDescent="0.25">
      <c r="A89" s="1" t="s">
        <v>250</v>
      </c>
      <c r="B89" s="1" t="s">
        <v>251</v>
      </c>
      <c r="C89" s="1" t="s">
        <v>58</v>
      </c>
      <c r="D89" s="1" t="s">
        <v>24</v>
      </c>
      <c r="E89" s="2">
        <v>45955.712500000001</v>
      </c>
      <c r="F89" s="1" t="s">
        <v>252</v>
      </c>
      <c r="G89" s="1" t="s">
        <v>26</v>
      </c>
      <c r="H89" s="1" t="s">
        <v>71</v>
      </c>
      <c r="I89" s="1" t="s">
        <v>54</v>
      </c>
      <c r="J89" s="12">
        <v>0</v>
      </c>
      <c r="K89" s="1" t="s">
        <v>110</v>
      </c>
      <c r="L89" s="1" t="s">
        <v>41</v>
      </c>
    </row>
    <row r="90" spans="1:12" x14ac:dyDescent="0.25">
      <c r="A90" s="1" t="s">
        <v>253</v>
      </c>
      <c r="B90" s="1" t="s">
        <v>254</v>
      </c>
      <c r="C90" s="1" t="s">
        <v>14</v>
      </c>
      <c r="D90" s="1" t="s">
        <v>24</v>
      </c>
      <c r="E90" s="2">
        <v>45956.343055555553</v>
      </c>
      <c r="F90" s="1" t="s">
        <v>25</v>
      </c>
      <c r="G90" s="1" t="s">
        <v>26</v>
      </c>
      <c r="H90" s="1" t="s">
        <v>38</v>
      </c>
      <c r="I90" s="1" t="s">
        <v>54</v>
      </c>
      <c r="J90" s="12">
        <v>20.8</v>
      </c>
      <c r="K90" s="1" t="s">
        <v>40</v>
      </c>
      <c r="L90" s="1" t="s">
        <v>29</v>
      </c>
    </row>
    <row r="91" spans="1:12" x14ac:dyDescent="0.25">
      <c r="A91" s="1" t="s">
        <v>255</v>
      </c>
      <c r="B91" s="1" t="s">
        <v>256</v>
      </c>
      <c r="C91" s="1" t="s">
        <v>14</v>
      </c>
      <c r="D91" s="1" t="s">
        <v>24</v>
      </c>
      <c r="E91" s="2">
        <v>45956.397222222222</v>
      </c>
      <c r="F91" s="1" t="s">
        <v>101</v>
      </c>
      <c r="G91" s="1" t="s">
        <v>17</v>
      </c>
      <c r="H91" s="1" t="s">
        <v>18</v>
      </c>
      <c r="I91" s="1" t="s">
        <v>19</v>
      </c>
      <c r="J91" s="12">
        <v>23.1</v>
      </c>
      <c r="K91" s="1" t="s">
        <v>55</v>
      </c>
      <c r="L91" s="1" t="s">
        <v>41</v>
      </c>
    </row>
    <row r="92" spans="1:12" x14ac:dyDescent="0.25">
      <c r="A92" s="1" t="s">
        <v>257</v>
      </c>
      <c r="B92" s="1" t="s">
        <v>258</v>
      </c>
      <c r="C92" s="1" t="s">
        <v>58</v>
      </c>
      <c r="D92" s="1" t="s">
        <v>24</v>
      </c>
      <c r="E92" s="2">
        <v>45956.548611111109</v>
      </c>
      <c r="F92" s="1" t="s">
        <v>59</v>
      </c>
      <c r="G92" s="1" t="s">
        <v>17</v>
      </c>
      <c r="H92" s="1" t="s">
        <v>124</v>
      </c>
      <c r="I92" s="1" t="s">
        <v>72</v>
      </c>
      <c r="J92" s="12">
        <v>0</v>
      </c>
      <c r="K92" s="1" t="s">
        <v>73</v>
      </c>
      <c r="L92" s="1" t="s">
        <v>41</v>
      </c>
    </row>
    <row r="93" spans="1:12" x14ac:dyDescent="0.25">
      <c r="A93" s="1" t="s">
        <v>259</v>
      </c>
      <c r="B93" s="1" t="s">
        <v>260</v>
      </c>
      <c r="C93" s="1" t="s">
        <v>14</v>
      </c>
      <c r="D93" s="1" t="s">
        <v>15</v>
      </c>
      <c r="E93" s="2">
        <v>45956.680555555555</v>
      </c>
      <c r="F93" s="1" t="s">
        <v>127</v>
      </c>
      <c r="G93" s="1" t="s">
        <v>17</v>
      </c>
      <c r="H93" s="1" t="s">
        <v>33</v>
      </c>
      <c r="I93" s="1" t="s">
        <v>54</v>
      </c>
      <c r="J93" s="12">
        <v>27.1</v>
      </c>
      <c r="K93" s="1" t="s">
        <v>73</v>
      </c>
      <c r="L93" s="1" t="s">
        <v>21</v>
      </c>
    </row>
    <row r="94" spans="1:12" x14ac:dyDescent="0.25">
      <c r="A94" s="1" t="s">
        <v>261</v>
      </c>
      <c r="B94" s="1" t="s">
        <v>262</v>
      </c>
      <c r="C94" s="1" t="s">
        <v>58</v>
      </c>
      <c r="D94" s="1" t="s">
        <v>63</v>
      </c>
      <c r="E94" s="2">
        <v>45957.463888888888</v>
      </c>
      <c r="F94" s="1" t="s">
        <v>91</v>
      </c>
      <c r="G94" s="1" t="s">
        <v>26</v>
      </c>
      <c r="H94" s="1" t="s">
        <v>53</v>
      </c>
      <c r="I94" s="1" t="s">
        <v>19</v>
      </c>
      <c r="J94" s="12">
        <v>0</v>
      </c>
      <c r="K94" s="1" t="s">
        <v>55</v>
      </c>
      <c r="L94" s="1" t="s">
        <v>21</v>
      </c>
    </row>
    <row r="95" spans="1:12" x14ac:dyDescent="0.25">
      <c r="A95" s="1" t="s">
        <v>263</v>
      </c>
      <c r="B95" s="1" t="s">
        <v>264</v>
      </c>
      <c r="C95" s="1" t="s">
        <v>14</v>
      </c>
      <c r="D95" s="1" t="s">
        <v>24</v>
      </c>
      <c r="E95" s="2">
        <v>45957.489583333336</v>
      </c>
      <c r="F95" s="1" t="s">
        <v>44</v>
      </c>
      <c r="G95" s="1" t="s">
        <v>26</v>
      </c>
      <c r="H95" s="1" t="s">
        <v>38</v>
      </c>
      <c r="I95" s="1" t="s">
        <v>34</v>
      </c>
      <c r="J95" s="12">
        <v>27</v>
      </c>
      <c r="K95" s="1" t="s">
        <v>20</v>
      </c>
      <c r="L95" s="1" t="s">
        <v>21</v>
      </c>
    </row>
    <row r="96" spans="1:12" x14ac:dyDescent="0.25">
      <c r="A96" s="1" t="s">
        <v>265</v>
      </c>
      <c r="B96" s="1" t="s">
        <v>266</v>
      </c>
      <c r="C96" s="1" t="s">
        <v>113</v>
      </c>
      <c r="D96" s="1" t="s">
        <v>15</v>
      </c>
      <c r="E96" s="2">
        <v>45957.495138888888</v>
      </c>
      <c r="F96" s="1" t="s">
        <v>88</v>
      </c>
      <c r="G96" s="1" t="s">
        <v>26</v>
      </c>
      <c r="H96" s="1" t="s">
        <v>71</v>
      </c>
      <c r="I96" s="1" t="s">
        <v>54</v>
      </c>
      <c r="J96" s="12">
        <v>0</v>
      </c>
      <c r="K96" s="1" t="s">
        <v>28</v>
      </c>
      <c r="L96" s="1" t="s">
        <v>21</v>
      </c>
    </row>
    <row r="97" spans="1:12" x14ac:dyDescent="0.25">
      <c r="A97" s="1" t="s">
        <v>267</v>
      </c>
      <c r="B97" s="1" t="s">
        <v>268</v>
      </c>
      <c r="C97" s="1" t="s">
        <v>14</v>
      </c>
      <c r="D97" s="1" t="s">
        <v>24</v>
      </c>
      <c r="E97" s="2">
        <v>45958.355555555558</v>
      </c>
      <c r="F97" s="1" t="s">
        <v>88</v>
      </c>
      <c r="G97" s="1" t="s">
        <v>26</v>
      </c>
      <c r="H97" s="1" t="s">
        <v>121</v>
      </c>
      <c r="I97" s="1" t="s">
        <v>27</v>
      </c>
      <c r="J97" s="12">
        <v>34.9</v>
      </c>
      <c r="K97" s="1" t="s">
        <v>67</v>
      </c>
      <c r="L97" s="1" t="s">
        <v>41</v>
      </c>
    </row>
    <row r="98" spans="1:12" x14ac:dyDescent="0.25">
      <c r="A98" s="1" t="s">
        <v>269</v>
      </c>
      <c r="B98" s="1" t="s">
        <v>270</v>
      </c>
      <c r="C98" s="1" t="s">
        <v>58</v>
      </c>
      <c r="D98" s="1" t="s">
        <v>24</v>
      </c>
      <c r="E98" s="2">
        <v>45958.393750000003</v>
      </c>
      <c r="F98" s="1" t="s">
        <v>209</v>
      </c>
      <c r="G98" s="1" t="s">
        <v>17</v>
      </c>
      <c r="H98" s="1" t="s">
        <v>71</v>
      </c>
      <c r="I98" s="1" t="s">
        <v>54</v>
      </c>
      <c r="J98" s="12">
        <v>0</v>
      </c>
      <c r="K98" s="1" t="s">
        <v>110</v>
      </c>
      <c r="L98" s="1" t="s">
        <v>41</v>
      </c>
    </row>
    <row r="99" spans="1:12" x14ac:dyDescent="0.25">
      <c r="A99" s="1" t="s">
        <v>271</v>
      </c>
      <c r="B99" s="1" t="s">
        <v>272</v>
      </c>
      <c r="C99" s="1" t="s">
        <v>14</v>
      </c>
      <c r="D99" s="1" t="s">
        <v>15</v>
      </c>
      <c r="E99" s="2">
        <v>45960.479861111111</v>
      </c>
      <c r="F99" s="1" t="s">
        <v>88</v>
      </c>
      <c r="G99" s="1" t="s">
        <v>26</v>
      </c>
      <c r="H99" s="1" t="s">
        <v>33</v>
      </c>
      <c r="I99" s="1" t="s">
        <v>34</v>
      </c>
      <c r="J99" s="12">
        <v>16.8</v>
      </c>
      <c r="K99" s="1" t="s">
        <v>60</v>
      </c>
      <c r="L99" s="1" t="s">
        <v>29</v>
      </c>
    </row>
    <row r="100" spans="1:12" x14ac:dyDescent="0.25">
      <c r="A100" s="1" t="s">
        <v>273</v>
      </c>
      <c r="B100" s="1" t="s">
        <v>274</v>
      </c>
      <c r="C100" s="1" t="s">
        <v>58</v>
      </c>
      <c r="D100" s="1" t="s">
        <v>15</v>
      </c>
      <c r="E100" s="2">
        <v>45960.530555555553</v>
      </c>
      <c r="F100" s="1" t="s">
        <v>146</v>
      </c>
      <c r="G100" s="1" t="s">
        <v>17</v>
      </c>
      <c r="H100" s="1" t="s">
        <v>33</v>
      </c>
      <c r="I100" s="1" t="s">
        <v>72</v>
      </c>
      <c r="J100" s="12">
        <v>0</v>
      </c>
      <c r="K100" s="1" t="s">
        <v>60</v>
      </c>
      <c r="L100" s="1" t="s">
        <v>29</v>
      </c>
    </row>
    <row r="101" spans="1:12" x14ac:dyDescent="0.25">
      <c r="A101" s="1" t="s">
        <v>275</v>
      </c>
      <c r="B101" s="1" t="s">
        <v>276</v>
      </c>
      <c r="C101" s="1" t="s">
        <v>14</v>
      </c>
      <c r="D101" s="1" t="s">
        <v>15</v>
      </c>
      <c r="E101" s="2">
        <v>45960.588194444441</v>
      </c>
      <c r="F101" s="1" t="s">
        <v>76</v>
      </c>
      <c r="G101" s="1" t="s">
        <v>26</v>
      </c>
      <c r="H101" s="1" t="s">
        <v>124</v>
      </c>
      <c r="I101" s="1" t="s">
        <v>54</v>
      </c>
      <c r="J101" s="13">
        <v>39</v>
      </c>
      <c r="K101" s="1" t="s">
        <v>67</v>
      </c>
      <c r="L101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E4F7-5B3B-4A5B-901A-F5C89D9ADA46}">
  <dimension ref="A1:D29"/>
  <sheetViews>
    <sheetView workbookViewId="0">
      <selection activeCell="K12" sqref="K12"/>
    </sheetView>
  </sheetViews>
  <sheetFormatPr defaultRowHeight="15" x14ac:dyDescent="0.25"/>
  <cols>
    <col min="1" max="1" width="13.28515625" bestFit="1" customWidth="1"/>
    <col min="2" max="2" width="18.5703125" bestFit="1" customWidth="1"/>
    <col min="3" max="3" width="20.5703125" bestFit="1" customWidth="1"/>
    <col min="4" max="4" width="26.85546875" bestFit="1" customWidth="1"/>
  </cols>
  <sheetData>
    <row r="1" spans="1:4" x14ac:dyDescent="0.25">
      <c r="A1" t="s">
        <v>5</v>
      </c>
      <c r="B1" t="s">
        <v>6</v>
      </c>
      <c r="C1" t="s">
        <v>356</v>
      </c>
      <c r="D1" t="s">
        <v>357</v>
      </c>
    </row>
    <row r="2" spans="1:4" x14ac:dyDescent="0.25">
      <c r="A2" s="3" t="s">
        <v>209</v>
      </c>
      <c r="B2" s="3" t="s">
        <v>17</v>
      </c>
      <c r="C2">
        <v>3</v>
      </c>
      <c r="D2" s="4">
        <v>29.8</v>
      </c>
    </row>
    <row r="3" spans="1:4" x14ac:dyDescent="0.25">
      <c r="A3" s="3" t="s">
        <v>139</v>
      </c>
      <c r="B3" s="3" t="s">
        <v>17</v>
      </c>
      <c r="C3">
        <v>7</v>
      </c>
      <c r="D3" s="5">
        <v>24.6</v>
      </c>
    </row>
    <row r="4" spans="1:4" x14ac:dyDescent="0.25">
      <c r="A4" s="3" t="s">
        <v>101</v>
      </c>
      <c r="B4" s="3" t="s">
        <v>17</v>
      </c>
      <c r="C4">
        <v>7</v>
      </c>
      <c r="D4" s="4">
        <v>36.799999999999997</v>
      </c>
    </row>
    <row r="5" spans="1:4" x14ac:dyDescent="0.25">
      <c r="A5" s="3" t="s">
        <v>109</v>
      </c>
      <c r="B5" s="3" t="s">
        <v>17</v>
      </c>
      <c r="C5">
        <v>6</v>
      </c>
      <c r="D5" s="5">
        <v>35.6</v>
      </c>
    </row>
    <row r="6" spans="1:4" x14ac:dyDescent="0.25">
      <c r="A6" s="3" t="s">
        <v>50</v>
      </c>
      <c r="B6" s="3" t="s">
        <v>17</v>
      </c>
      <c r="C6">
        <v>5</v>
      </c>
      <c r="D6" s="4">
        <v>22.1</v>
      </c>
    </row>
    <row r="7" spans="1:4" x14ac:dyDescent="0.25">
      <c r="A7" s="3" t="s">
        <v>181</v>
      </c>
      <c r="B7" s="3" t="s">
        <v>17</v>
      </c>
      <c r="C7">
        <v>3</v>
      </c>
      <c r="D7" s="5">
        <v>33.9</v>
      </c>
    </row>
    <row r="8" spans="1:4" x14ac:dyDescent="0.25">
      <c r="A8" s="3" t="s">
        <v>127</v>
      </c>
      <c r="B8" s="3" t="s">
        <v>17</v>
      </c>
      <c r="C8">
        <v>3</v>
      </c>
      <c r="D8" s="4">
        <v>28.3</v>
      </c>
    </row>
    <row r="9" spans="1:4" x14ac:dyDescent="0.25">
      <c r="A9" s="3" t="s">
        <v>16</v>
      </c>
      <c r="B9" s="3" t="s">
        <v>17</v>
      </c>
      <c r="C9">
        <v>2</v>
      </c>
      <c r="D9" s="5">
        <v>15</v>
      </c>
    </row>
    <row r="10" spans="1:4" x14ac:dyDescent="0.25">
      <c r="A10" s="3" t="s">
        <v>146</v>
      </c>
      <c r="B10" s="3" t="s">
        <v>17</v>
      </c>
      <c r="C10">
        <v>6</v>
      </c>
      <c r="D10" s="4">
        <v>28.8</v>
      </c>
    </row>
    <row r="11" spans="1:4" x14ac:dyDescent="0.25">
      <c r="A11" s="3" t="s">
        <v>94</v>
      </c>
      <c r="B11" s="3" t="s">
        <v>17</v>
      </c>
      <c r="C11">
        <v>4</v>
      </c>
      <c r="D11" s="5">
        <v>26.8</v>
      </c>
    </row>
    <row r="12" spans="1:4" x14ac:dyDescent="0.25">
      <c r="A12" s="3" t="s">
        <v>70</v>
      </c>
      <c r="B12" s="3" t="s">
        <v>17</v>
      </c>
      <c r="C12">
        <v>4</v>
      </c>
      <c r="D12" s="4">
        <v>20.3</v>
      </c>
    </row>
    <row r="13" spans="1:4" x14ac:dyDescent="0.25">
      <c r="A13" s="3" t="s">
        <v>59</v>
      </c>
      <c r="B13" s="3" t="s">
        <v>17</v>
      </c>
      <c r="C13">
        <v>3</v>
      </c>
      <c r="D13" s="5">
        <v>20.9</v>
      </c>
    </row>
    <row r="14" spans="1:4" x14ac:dyDescent="0.25">
      <c r="A14" s="3" t="s">
        <v>220</v>
      </c>
      <c r="B14" s="3" t="s">
        <v>17</v>
      </c>
      <c r="C14">
        <v>2</v>
      </c>
      <c r="D14" s="4">
        <v>9.1</v>
      </c>
    </row>
    <row r="15" spans="1:4" x14ac:dyDescent="0.25">
      <c r="A15" s="3" t="s">
        <v>32</v>
      </c>
      <c r="B15" s="3" t="s">
        <v>17</v>
      </c>
      <c r="C15">
        <v>5</v>
      </c>
      <c r="D15" s="5">
        <v>18.899999999999999</v>
      </c>
    </row>
    <row r="16" spans="1:4" x14ac:dyDescent="0.25">
      <c r="A16" s="3" t="s">
        <v>91</v>
      </c>
      <c r="B16" s="3" t="s">
        <v>26</v>
      </c>
      <c r="C16">
        <v>4</v>
      </c>
      <c r="D16" s="4">
        <v>17.2</v>
      </c>
    </row>
    <row r="17" spans="1:4" x14ac:dyDescent="0.25">
      <c r="A17" s="3" t="s">
        <v>76</v>
      </c>
      <c r="B17" s="3" t="s">
        <v>26</v>
      </c>
      <c r="C17">
        <v>5</v>
      </c>
      <c r="D17" s="5">
        <v>19.8</v>
      </c>
    </row>
    <row r="18" spans="1:4" x14ac:dyDescent="0.25">
      <c r="A18" s="3" t="s">
        <v>114</v>
      </c>
      <c r="B18" s="3" t="s">
        <v>26</v>
      </c>
      <c r="C18">
        <v>3</v>
      </c>
      <c r="D18" s="4">
        <v>44.3</v>
      </c>
    </row>
    <row r="19" spans="1:4" x14ac:dyDescent="0.25">
      <c r="A19" s="3" t="s">
        <v>192</v>
      </c>
      <c r="B19" s="3" t="s">
        <v>26</v>
      </c>
      <c r="C19">
        <v>1</v>
      </c>
      <c r="D19" s="5">
        <v>7.9</v>
      </c>
    </row>
    <row r="20" spans="1:4" x14ac:dyDescent="0.25">
      <c r="A20" s="3" t="s">
        <v>247</v>
      </c>
      <c r="B20" s="3" t="s">
        <v>26</v>
      </c>
      <c r="C20">
        <v>1</v>
      </c>
      <c r="D20" s="4">
        <v>25.4</v>
      </c>
    </row>
    <row r="21" spans="1:4" x14ac:dyDescent="0.25">
      <c r="A21" s="3" t="s">
        <v>82</v>
      </c>
      <c r="B21" s="3" t="s">
        <v>26</v>
      </c>
      <c r="C21">
        <v>2</v>
      </c>
      <c r="D21" s="5">
        <v>22.6</v>
      </c>
    </row>
    <row r="22" spans="1:4" x14ac:dyDescent="0.25">
      <c r="A22" s="3" t="s">
        <v>64</v>
      </c>
      <c r="B22" s="3" t="s">
        <v>26</v>
      </c>
      <c r="C22">
        <v>5</v>
      </c>
      <c r="D22" s="4">
        <v>30.5</v>
      </c>
    </row>
    <row r="23" spans="1:4" x14ac:dyDescent="0.25">
      <c r="A23" s="3" t="s">
        <v>44</v>
      </c>
      <c r="B23" s="3" t="s">
        <v>26</v>
      </c>
      <c r="C23">
        <v>2</v>
      </c>
      <c r="D23" s="5">
        <v>33.799999999999997</v>
      </c>
    </row>
    <row r="24" spans="1:4" x14ac:dyDescent="0.25">
      <c r="A24" s="3" t="s">
        <v>136</v>
      </c>
      <c r="B24" s="3" t="s">
        <v>26</v>
      </c>
      <c r="C24">
        <v>2</v>
      </c>
      <c r="D24" s="4">
        <v>22.2</v>
      </c>
    </row>
    <row r="25" spans="1:4" x14ac:dyDescent="0.25">
      <c r="A25" s="3" t="s">
        <v>25</v>
      </c>
      <c r="B25" s="3" t="s">
        <v>26</v>
      </c>
      <c r="C25">
        <v>4</v>
      </c>
      <c r="D25" s="5">
        <v>24.2</v>
      </c>
    </row>
    <row r="26" spans="1:4" x14ac:dyDescent="0.25">
      <c r="A26" s="3" t="s">
        <v>37</v>
      </c>
      <c r="B26" s="3" t="s">
        <v>26</v>
      </c>
      <c r="C26">
        <v>2</v>
      </c>
      <c r="D26" s="4">
        <v>22.1</v>
      </c>
    </row>
    <row r="27" spans="1:4" x14ac:dyDescent="0.25">
      <c r="A27" s="3" t="s">
        <v>98</v>
      </c>
      <c r="B27" s="3" t="s">
        <v>26</v>
      </c>
      <c r="C27">
        <v>3</v>
      </c>
      <c r="D27" s="5">
        <v>29.6</v>
      </c>
    </row>
    <row r="28" spans="1:4" x14ac:dyDescent="0.25">
      <c r="A28" s="3" t="s">
        <v>252</v>
      </c>
      <c r="B28" s="3" t="s">
        <v>26</v>
      </c>
      <c r="C28">
        <v>1</v>
      </c>
      <c r="D28" s="4" t="s">
        <v>358</v>
      </c>
    </row>
    <row r="29" spans="1:4" x14ac:dyDescent="0.25">
      <c r="A29" s="3" t="s">
        <v>88</v>
      </c>
      <c r="B29" s="3" t="s">
        <v>26</v>
      </c>
      <c r="C29">
        <v>5</v>
      </c>
      <c r="D29" s="5">
        <v>30.3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E98F-50EB-4113-85C1-9CDA7113FDBA}">
  <dimension ref="A1:C30"/>
  <sheetViews>
    <sheetView workbookViewId="0">
      <selection activeCell="K30" sqref="K30"/>
    </sheetView>
  </sheetViews>
  <sheetFormatPr defaultRowHeight="15" x14ac:dyDescent="0.25"/>
  <cols>
    <col min="1" max="1" width="10.140625" bestFit="1" customWidth="1"/>
    <col min="2" max="2" width="4.5703125" bestFit="1" customWidth="1"/>
    <col min="3" max="3" width="4.42578125" bestFit="1" customWidth="1"/>
  </cols>
  <sheetData>
    <row r="1" spans="1:3" x14ac:dyDescent="0.25">
      <c r="A1" t="s">
        <v>377</v>
      </c>
      <c r="B1" t="s">
        <v>17</v>
      </c>
      <c r="C1" t="s">
        <v>26</v>
      </c>
    </row>
    <row r="2" spans="1:3" x14ac:dyDescent="0.25">
      <c r="A2" s="10">
        <v>45931</v>
      </c>
      <c r="B2">
        <v>2</v>
      </c>
      <c r="C2">
        <v>2</v>
      </c>
    </row>
    <row r="3" spans="1:3" x14ac:dyDescent="0.25">
      <c r="A3" s="10">
        <v>45932</v>
      </c>
      <c r="B3">
        <v>2</v>
      </c>
      <c r="C3">
        <v>1</v>
      </c>
    </row>
    <row r="4" spans="1:3" x14ac:dyDescent="0.25">
      <c r="A4" s="10">
        <v>45933</v>
      </c>
      <c r="B4">
        <v>2</v>
      </c>
      <c r="C4">
        <v>1</v>
      </c>
    </row>
    <row r="5" spans="1:3" x14ac:dyDescent="0.25">
      <c r="A5" s="10">
        <v>45934</v>
      </c>
      <c r="B5">
        <v>1</v>
      </c>
      <c r="C5">
        <v>3</v>
      </c>
    </row>
    <row r="6" spans="1:3" x14ac:dyDescent="0.25">
      <c r="A6" s="10">
        <v>45935</v>
      </c>
      <c r="B6">
        <v>1</v>
      </c>
      <c r="C6">
        <v>3</v>
      </c>
    </row>
    <row r="7" spans="1:3" x14ac:dyDescent="0.25">
      <c r="A7" s="10">
        <v>45936</v>
      </c>
      <c r="B7">
        <v>1</v>
      </c>
      <c r="C7">
        <v>2</v>
      </c>
    </row>
    <row r="8" spans="1:3" x14ac:dyDescent="0.25">
      <c r="A8" s="10">
        <v>45937</v>
      </c>
      <c r="B8">
        <v>2</v>
      </c>
      <c r="C8">
        <v>1</v>
      </c>
    </row>
    <row r="9" spans="1:3" x14ac:dyDescent="0.25">
      <c r="A9" s="10">
        <v>45938</v>
      </c>
      <c r="B9">
        <v>4</v>
      </c>
      <c r="C9">
        <v>0</v>
      </c>
    </row>
    <row r="10" spans="1:3" x14ac:dyDescent="0.25">
      <c r="A10" s="10">
        <v>45939</v>
      </c>
      <c r="B10">
        <v>3</v>
      </c>
      <c r="C10">
        <v>0</v>
      </c>
    </row>
    <row r="11" spans="1:3" x14ac:dyDescent="0.25">
      <c r="A11" s="10">
        <v>45940</v>
      </c>
      <c r="B11">
        <v>2</v>
      </c>
      <c r="C11">
        <v>1</v>
      </c>
    </row>
    <row r="12" spans="1:3" x14ac:dyDescent="0.25">
      <c r="A12" s="10">
        <v>45941</v>
      </c>
      <c r="B12">
        <v>3</v>
      </c>
      <c r="C12">
        <v>0</v>
      </c>
    </row>
    <row r="13" spans="1:3" x14ac:dyDescent="0.25">
      <c r="A13" s="10">
        <v>45942</v>
      </c>
      <c r="B13">
        <v>2</v>
      </c>
      <c r="C13">
        <v>2</v>
      </c>
    </row>
    <row r="14" spans="1:3" x14ac:dyDescent="0.25">
      <c r="A14" s="10">
        <v>45943</v>
      </c>
      <c r="B14">
        <v>6</v>
      </c>
      <c r="C14">
        <v>3</v>
      </c>
    </row>
    <row r="15" spans="1:3" x14ac:dyDescent="0.25">
      <c r="A15" s="10">
        <v>45944</v>
      </c>
      <c r="B15">
        <v>8</v>
      </c>
      <c r="C15">
        <v>1</v>
      </c>
    </row>
    <row r="16" spans="1:3" x14ac:dyDescent="0.25">
      <c r="A16" s="10">
        <v>45945</v>
      </c>
      <c r="B16">
        <v>0</v>
      </c>
      <c r="C16">
        <v>1</v>
      </c>
    </row>
    <row r="17" spans="1:3" x14ac:dyDescent="0.25">
      <c r="A17" s="10">
        <v>45946</v>
      </c>
      <c r="B17">
        <v>3</v>
      </c>
      <c r="C17">
        <v>2</v>
      </c>
    </row>
    <row r="18" spans="1:3" x14ac:dyDescent="0.25">
      <c r="A18" s="10">
        <v>45947</v>
      </c>
      <c r="B18">
        <v>1</v>
      </c>
      <c r="C18">
        <v>0</v>
      </c>
    </row>
    <row r="19" spans="1:3" x14ac:dyDescent="0.25">
      <c r="A19" s="10">
        <v>45948</v>
      </c>
      <c r="B19">
        <v>2</v>
      </c>
      <c r="C19">
        <v>1</v>
      </c>
    </row>
    <row r="20" spans="1:3" x14ac:dyDescent="0.25">
      <c r="A20" s="10">
        <v>45949</v>
      </c>
      <c r="B20">
        <v>1</v>
      </c>
      <c r="C20">
        <v>0</v>
      </c>
    </row>
    <row r="21" spans="1:3" x14ac:dyDescent="0.25">
      <c r="A21" s="10">
        <v>45950</v>
      </c>
      <c r="B21">
        <v>3</v>
      </c>
      <c r="C21">
        <v>0</v>
      </c>
    </row>
    <row r="22" spans="1:3" x14ac:dyDescent="0.25">
      <c r="A22" s="10">
        <v>45951</v>
      </c>
      <c r="B22">
        <v>2</v>
      </c>
      <c r="C22">
        <v>1</v>
      </c>
    </row>
    <row r="23" spans="1:3" x14ac:dyDescent="0.25">
      <c r="A23" s="10">
        <v>45952</v>
      </c>
      <c r="B23">
        <v>2</v>
      </c>
      <c r="C23">
        <v>1</v>
      </c>
    </row>
    <row r="24" spans="1:3" x14ac:dyDescent="0.25">
      <c r="A24" s="10">
        <v>45953</v>
      </c>
      <c r="B24">
        <v>1</v>
      </c>
      <c r="C24">
        <v>6</v>
      </c>
    </row>
    <row r="25" spans="1:3" x14ac:dyDescent="0.25">
      <c r="A25" s="10">
        <v>45954</v>
      </c>
      <c r="B25">
        <v>1</v>
      </c>
      <c r="C25">
        <v>0</v>
      </c>
    </row>
    <row r="26" spans="1:3" x14ac:dyDescent="0.25">
      <c r="A26" s="10">
        <v>45955</v>
      </c>
      <c r="B26">
        <v>0</v>
      </c>
      <c r="C26">
        <v>1</v>
      </c>
    </row>
    <row r="27" spans="1:3" x14ac:dyDescent="0.25">
      <c r="A27" s="10">
        <v>45956</v>
      </c>
      <c r="B27">
        <v>3</v>
      </c>
      <c r="C27">
        <v>1</v>
      </c>
    </row>
    <row r="28" spans="1:3" x14ac:dyDescent="0.25">
      <c r="A28" s="10">
        <v>45957</v>
      </c>
      <c r="B28">
        <v>0</v>
      </c>
      <c r="C28">
        <v>3</v>
      </c>
    </row>
    <row r="29" spans="1:3" x14ac:dyDescent="0.25">
      <c r="A29" s="10">
        <v>45958</v>
      </c>
      <c r="B29">
        <v>1</v>
      </c>
      <c r="C29">
        <v>1</v>
      </c>
    </row>
    <row r="30" spans="1:3" x14ac:dyDescent="0.25">
      <c r="A30" s="10">
        <v>45960</v>
      </c>
      <c r="B30">
        <v>1</v>
      </c>
      <c r="C30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AA73-B26D-4377-AB82-3EE3986D0F07}">
  <dimension ref="A1:I27"/>
  <sheetViews>
    <sheetView zoomScaleNormal="100" workbookViewId="0">
      <selection activeCell="N26" sqref="N26"/>
    </sheetView>
  </sheetViews>
  <sheetFormatPr defaultRowHeight="15" x14ac:dyDescent="0.25"/>
  <cols>
    <col min="1" max="1" width="28.42578125" style="6" customWidth="1"/>
    <col min="2" max="2" width="13" style="6" customWidth="1"/>
    <col min="3" max="3" width="26" style="6" customWidth="1"/>
    <col min="4" max="4" width="21.42578125" style="6" customWidth="1"/>
    <col min="5" max="5" width="9.140625" style="6"/>
    <col min="6" max="6" width="11.5703125" style="6" bestFit="1" customWidth="1"/>
    <col min="7" max="16384" width="9.140625" style="6"/>
  </cols>
  <sheetData>
    <row r="1" spans="1:9" ht="21" x14ac:dyDescent="0.25">
      <c r="A1" s="23" t="s">
        <v>359</v>
      </c>
      <c r="B1" s="23"/>
      <c r="C1" s="23"/>
      <c r="D1" s="23"/>
      <c r="E1" s="7"/>
      <c r="F1" s="7"/>
      <c r="G1" s="7"/>
      <c r="H1" s="7"/>
      <c r="I1" s="7"/>
    </row>
    <row r="2" spans="1:9" x14ac:dyDescent="0.25">
      <c r="B2" s="8" t="s">
        <v>666</v>
      </c>
      <c r="C2" s="8" t="s">
        <v>667</v>
      </c>
    </row>
    <row r="3" spans="1:9" x14ac:dyDescent="0.25">
      <c r="B3" s="6" cm="1">
        <f t="array" ref="B3:B16">_xlfn._xlws.FILTER(jira_aggregated_data[Количество заявок],jira_aggregated_data[Группа A/B теста]="A")</f>
        <v>3</v>
      </c>
      <c r="C3" s="6" cm="1">
        <f t="array" ref="C3:C16">_xlfn._xlws.FILTER(jira_aggregated_data[Количество заявок],jira_aggregated_data[Группа A/B теста]="B")</f>
        <v>4</v>
      </c>
    </row>
    <row r="4" spans="1:9" x14ac:dyDescent="0.25">
      <c r="B4" s="6">
        <v>7</v>
      </c>
      <c r="C4" s="6">
        <v>5</v>
      </c>
    </row>
    <row r="5" spans="1:9" x14ac:dyDescent="0.25">
      <c r="B5" s="6">
        <v>7</v>
      </c>
      <c r="C5" s="6">
        <v>3</v>
      </c>
    </row>
    <row r="6" spans="1:9" x14ac:dyDescent="0.25">
      <c r="B6" s="6">
        <v>6</v>
      </c>
      <c r="C6" s="6">
        <v>1</v>
      </c>
    </row>
    <row r="7" spans="1:9" x14ac:dyDescent="0.25">
      <c r="B7" s="6">
        <v>5</v>
      </c>
      <c r="C7" s="6">
        <v>1</v>
      </c>
    </row>
    <row r="8" spans="1:9" x14ac:dyDescent="0.25">
      <c r="B8" s="6">
        <v>3</v>
      </c>
      <c r="C8" s="6">
        <v>2</v>
      </c>
    </row>
    <row r="9" spans="1:9" x14ac:dyDescent="0.25">
      <c r="B9" s="6">
        <v>3</v>
      </c>
      <c r="C9" s="6">
        <v>5</v>
      </c>
    </row>
    <row r="10" spans="1:9" x14ac:dyDescent="0.25">
      <c r="B10" s="6">
        <v>2</v>
      </c>
      <c r="C10" s="6">
        <v>2</v>
      </c>
    </row>
    <row r="11" spans="1:9" x14ac:dyDescent="0.25">
      <c r="B11" s="6">
        <v>6</v>
      </c>
      <c r="C11" s="6">
        <v>2</v>
      </c>
    </row>
    <row r="12" spans="1:9" x14ac:dyDescent="0.25">
      <c r="B12" s="6">
        <v>4</v>
      </c>
      <c r="C12" s="6">
        <v>4</v>
      </c>
    </row>
    <row r="13" spans="1:9" x14ac:dyDescent="0.25">
      <c r="B13" s="6">
        <v>4</v>
      </c>
      <c r="C13" s="6">
        <v>2</v>
      </c>
    </row>
    <row r="14" spans="1:9" x14ac:dyDescent="0.25">
      <c r="B14" s="6">
        <v>3</v>
      </c>
      <c r="C14" s="6">
        <v>3</v>
      </c>
    </row>
    <row r="15" spans="1:9" x14ac:dyDescent="0.25">
      <c r="B15" s="6">
        <v>2</v>
      </c>
      <c r="C15" s="6">
        <v>1</v>
      </c>
    </row>
    <row r="16" spans="1:9" x14ac:dyDescent="0.25">
      <c r="B16" s="6">
        <v>5</v>
      </c>
      <c r="C16" s="6">
        <v>5</v>
      </c>
    </row>
    <row r="17" spans="1:9" x14ac:dyDescent="0.25">
      <c r="A17" s="8" t="s">
        <v>365</v>
      </c>
      <c r="B17" s="8">
        <f>SUM(_xlfn.ANCHORARRAY(B3))</f>
        <v>60</v>
      </c>
      <c r="C17" s="8">
        <f>SUM(_xlfn.ANCHORARRAY(C3))</f>
        <v>40</v>
      </c>
    </row>
    <row r="18" spans="1:9" ht="15.75" x14ac:dyDescent="0.25">
      <c r="A18" s="24" t="s">
        <v>360</v>
      </c>
      <c r="B18" s="24"/>
      <c r="C18" s="24"/>
      <c r="D18" s="24"/>
      <c r="E18" s="7"/>
      <c r="F18" s="7"/>
      <c r="G18" s="7"/>
      <c r="H18" s="7"/>
      <c r="I18" s="7"/>
    </row>
    <row r="19" spans="1:9" x14ac:dyDescent="0.25">
      <c r="A19" s="8" t="s">
        <v>361</v>
      </c>
      <c r="B19" s="6">
        <f>AVERAGE(_xlfn.ANCHORARRAY(B3))</f>
        <v>4.2857142857142856</v>
      </c>
      <c r="C19" s="25" t="s">
        <v>371</v>
      </c>
      <c r="D19" s="25"/>
    </row>
    <row r="20" spans="1:9" ht="60" x14ac:dyDescent="0.25">
      <c r="A20" s="8" t="s">
        <v>362</v>
      </c>
      <c r="B20" s="6">
        <f>AVERAGE(_xlfn.ANCHORARRAY(C3))</f>
        <v>2.8571428571428572</v>
      </c>
      <c r="C20" s="8" t="s">
        <v>372</v>
      </c>
      <c r="D20" s="6">
        <f>POWER(B22,2)/B24</f>
        <v>4.9816849816849793E-2</v>
      </c>
    </row>
    <row r="21" spans="1:9" ht="60" x14ac:dyDescent="0.25">
      <c r="A21" s="8" t="s">
        <v>367</v>
      </c>
      <c r="B21" s="6">
        <v>0</v>
      </c>
      <c r="C21" s="8" t="s">
        <v>373</v>
      </c>
      <c r="D21" s="6">
        <f>POWER(B23,2)/B25</f>
        <v>5.7142857142857127E-2</v>
      </c>
    </row>
    <row r="22" spans="1:9" x14ac:dyDescent="0.25">
      <c r="A22" s="8" t="s">
        <v>363</v>
      </c>
      <c r="B22" s="6">
        <f>_xlfn.STDEV.S(_xlfn.ANCHORARRAY(B3))</f>
        <v>1.7288756430151324</v>
      </c>
      <c r="C22" s="8" t="s">
        <v>374</v>
      </c>
      <c r="D22" s="6">
        <f>POWER((D20+D21),2)/((POWER(D20,2)/(B24-1))+(POWER(D21,2)/(B25-1)))</f>
        <v>90.949088805322504</v>
      </c>
    </row>
    <row r="23" spans="1:9" x14ac:dyDescent="0.25">
      <c r="A23" s="8" t="s">
        <v>364</v>
      </c>
      <c r="B23" s="6">
        <f>_xlfn.STDEV.S(_xlfn.ANCHORARRAY(C3))</f>
        <v>1.5118578920369088</v>
      </c>
      <c r="C23" s="8" t="s">
        <v>366</v>
      </c>
      <c r="D23" s="6">
        <f>((B19-B20)-B21)/B26</f>
        <v>4.3680928142221855</v>
      </c>
    </row>
    <row r="24" spans="1:9" x14ac:dyDescent="0.25">
      <c r="A24" s="8" t="s">
        <v>368</v>
      </c>
      <c r="B24" s="6">
        <f>B17</f>
        <v>60</v>
      </c>
      <c r="C24" s="8" t="s">
        <v>375</v>
      </c>
      <c r="D24" s="6">
        <f>_xlfn.T.TEST(B3:B16,C3:C16,1,2)</f>
        <v>1.3999833288873199E-2</v>
      </c>
    </row>
    <row r="25" spans="1:9" ht="30" x14ac:dyDescent="0.25">
      <c r="A25" s="8" t="s">
        <v>369</v>
      </c>
      <c r="B25" s="6">
        <f>C17</f>
        <v>40</v>
      </c>
      <c r="C25" s="8" t="s">
        <v>376</v>
      </c>
      <c r="D25" s="6" t="str" cm="1">
        <f t="array" ref="D25">IF(D24, "Статистически значимо (p &lt; 0.05)", IF(ячейка_p &lt; 0.1, "Тенденция (p &lt; 0.1)", "Не значимо (p ≥ 0.1)"))</f>
        <v>Статистически значимо (p &lt; 0.05)</v>
      </c>
    </row>
    <row r="26" spans="1:9" ht="30" x14ac:dyDescent="0.25">
      <c r="A26" s="8" t="s">
        <v>370</v>
      </c>
      <c r="B26" s="6">
        <f>SQRT((POWER(B22,2)/B24)+(POWER(B23,2)/B25))</f>
        <v>0.32704694916740457</v>
      </c>
      <c r="C26" s="9" t="s">
        <v>648</v>
      </c>
      <c r="D26" s="19">
        <f>(B20-B19)/B19</f>
        <v>-0.33333333333333331</v>
      </c>
    </row>
    <row r="27" spans="1:9" x14ac:dyDescent="0.25">
      <c r="C27" s="9" t="s">
        <v>649</v>
      </c>
      <c r="D27" s="6">
        <f>_xlfn.CONFIDENCE.T(0.05,B22,B17)</f>
        <v>0.44661593682688044</v>
      </c>
    </row>
  </sheetData>
  <mergeCells count="3">
    <mergeCell ref="A1:D1"/>
    <mergeCell ref="A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2147-77A5-489E-9898-66BD7787FB65}">
  <dimension ref="A1:I36"/>
  <sheetViews>
    <sheetView workbookViewId="0">
      <selection activeCell="G28" sqref="G28"/>
    </sheetView>
  </sheetViews>
  <sheetFormatPr defaultRowHeight="15" x14ac:dyDescent="0.25"/>
  <cols>
    <col min="1" max="1" width="39.5703125" style="15" bestFit="1" customWidth="1"/>
    <col min="2" max="2" width="20.85546875" style="15" bestFit="1" customWidth="1"/>
    <col min="3" max="3" width="3" style="15" bestFit="1" customWidth="1"/>
    <col min="4" max="4" width="11.85546875" style="15" bestFit="1" customWidth="1"/>
    <col min="5" max="5" width="9.140625" style="15"/>
    <col min="6" max="6" width="26" style="15" customWidth="1"/>
    <col min="7" max="7" width="10.7109375" style="15" customWidth="1"/>
    <col min="8" max="8" width="12.5703125" style="15" customWidth="1"/>
    <col min="9" max="9" width="15.28515625" style="15" customWidth="1"/>
    <col min="10" max="16384" width="9.140625" style="15"/>
  </cols>
  <sheetData>
    <row r="1" spans="1:4" x14ac:dyDescent="0.25">
      <c r="A1" s="14" t="s">
        <v>3</v>
      </c>
      <c r="B1" s="15" t="s">
        <v>354</v>
      </c>
    </row>
    <row r="3" spans="1:4" x14ac:dyDescent="0.25">
      <c r="A3" s="14" t="s">
        <v>277</v>
      </c>
      <c r="B3" s="15" t="s">
        <v>279</v>
      </c>
      <c r="C3" s="15" t="s">
        <v>280</v>
      </c>
    </row>
    <row r="4" spans="1:4" x14ac:dyDescent="0.25">
      <c r="A4" s="15" t="s">
        <v>17</v>
      </c>
      <c r="B4" s="16">
        <v>60</v>
      </c>
      <c r="C4" s="16">
        <v>18.133333333333329</v>
      </c>
    </row>
    <row r="5" spans="1:4" x14ac:dyDescent="0.25">
      <c r="A5" s="15" t="s">
        <v>26</v>
      </c>
      <c r="B5" s="16">
        <v>40</v>
      </c>
      <c r="C5" s="16">
        <v>22.289999999999996</v>
      </c>
    </row>
    <row r="6" spans="1:4" x14ac:dyDescent="0.25">
      <c r="A6" s="15" t="s">
        <v>278</v>
      </c>
      <c r="B6" s="16">
        <v>100</v>
      </c>
      <c r="C6" s="16">
        <v>19.796000000000003</v>
      </c>
    </row>
    <row r="10" spans="1:4" x14ac:dyDescent="0.25">
      <c r="A10" s="14" t="s">
        <v>279</v>
      </c>
      <c r="B10" s="14" t="s">
        <v>355</v>
      </c>
    </row>
    <row r="11" spans="1:4" x14ac:dyDescent="0.25">
      <c r="A11" s="14" t="s">
        <v>277</v>
      </c>
      <c r="B11" s="15" t="s">
        <v>17</v>
      </c>
      <c r="C11" s="15" t="s">
        <v>26</v>
      </c>
      <c r="D11" s="15" t="s">
        <v>278</v>
      </c>
    </row>
    <row r="12" spans="1:4" x14ac:dyDescent="0.25">
      <c r="A12" s="15" t="s">
        <v>38</v>
      </c>
      <c r="B12" s="16">
        <v>5</v>
      </c>
      <c r="C12" s="16">
        <v>9</v>
      </c>
      <c r="D12" s="16">
        <v>14</v>
      </c>
    </row>
    <row r="13" spans="1:4" x14ac:dyDescent="0.25">
      <c r="A13" s="15" t="s">
        <v>71</v>
      </c>
      <c r="B13" s="16">
        <v>8</v>
      </c>
      <c r="C13" s="16">
        <v>2</v>
      </c>
      <c r="D13" s="16">
        <v>10</v>
      </c>
    </row>
    <row r="14" spans="1:4" x14ac:dyDescent="0.25">
      <c r="A14" s="15" t="s">
        <v>18</v>
      </c>
      <c r="B14" s="16">
        <v>19</v>
      </c>
      <c r="C14" s="16">
        <v>5</v>
      </c>
      <c r="D14" s="16">
        <v>24</v>
      </c>
    </row>
    <row r="15" spans="1:4" x14ac:dyDescent="0.25">
      <c r="A15" s="15" t="s">
        <v>53</v>
      </c>
      <c r="B15" s="16">
        <v>7</v>
      </c>
      <c r="C15" s="16">
        <v>3</v>
      </c>
      <c r="D15" s="16">
        <v>10</v>
      </c>
    </row>
    <row r="16" spans="1:4" x14ac:dyDescent="0.25">
      <c r="A16" s="15" t="s">
        <v>124</v>
      </c>
      <c r="B16" s="16">
        <v>8</v>
      </c>
      <c r="C16" s="16">
        <v>2</v>
      </c>
      <c r="D16" s="16">
        <v>10</v>
      </c>
    </row>
    <row r="17" spans="1:9" x14ac:dyDescent="0.25">
      <c r="A17" s="15" t="s">
        <v>33</v>
      </c>
      <c r="B17" s="16">
        <v>9</v>
      </c>
      <c r="C17" s="16">
        <v>6</v>
      </c>
      <c r="D17" s="16">
        <v>15</v>
      </c>
    </row>
    <row r="18" spans="1:9" x14ac:dyDescent="0.25">
      <c r="A18" s="15" t="s">
        <v>79</v>
      </c>
      <c r="B18" s="16"/>
      <c r="C18" s="16">
        <v>2</v>
      </c>
      <c r="D18" s="16">
        <v>2</v>
      </c>
    </row>
    <row r="19" spans="1:9" x14ac:dyDescent="0.25">
      <c r="A19" s="15" t="s">
        <v>45</v>
      </c>
      <c r="B19" s="16"/>
      <c r="C19" s="16">
        <v>9</v>
      </c>
      <c r="D19" s="16">
        <v>9</v>
      </c>
    </row>
    <row r="20" spans="1:9" x14ac:dyDescent="0.25">
      <c r="A20" s="15" t="s">
        <v>121</v>
      </c>
      <c r="B20" s="16">
        <v>4</v>
      </c>
      <c r="C20" s="16">
        <v>2</v>
      </c>
      <c r="D20" s="16">
        <v>6</v>
      </c>
    </row>
    <row r="21" spans="1:9" x14ac:dyDescent="0.25">
      <c r="A21" s="15" t="s">
        <v>278</v>
      </c>
      <c r="B21" s="16">
        <v>60</v>
      </c>
      <c r="C21" s="16">
        <v>40</v>
      </c>
      <c r="D21" s="16">
        <v>100</v>
      </c>
    </row>
    <row r="25" spans="1:9" x14ac:dyDescent="0.25">
      <c r="A25" s="14" t="s">
        <v>279</v>
      </c>
      <c r="B25" s="14" t="s">
        <v>355</v>
      </c>
    </row>
    <row r="26" spans="1:9" x14ac:dyDescent="0.25">
      <c r="A26" s="14" t="s">
        <v>277</v>
      </c>
      <c r="B26" s="15" t="s">
        <v>17</v>
      </c>
      <c r="C26" s="15" t="s">
        <v>26</v>
      </c>
      <c r="D26" s="15" t="s">
        <v>278</v>
      </c>
      <c r="F26" s="17" t="s">
        <v>642</v>
      </c>
      <c r="G26" s="17" t="s">
        <v>645</v>
      </c>
      <c r="H26" s="17" t="s">
        <v>647</v>
      </c>
      <c r="I26" s="17" t="s">
        <v>646</v>
      </c>
    </row>
    <row r="27" spans="1:9" x14ac:dyDescent="0.25">
      <c r="A27" s="15" t="s">
        <v>38</v>
      </c>
      <c r="B27" s="16">
        <v>5</v>
      </c>
      <c r="C27" s="16">
        <v>9</v>
      </c>
      <c r="D27" s="16">
        <v>14</v>
      </c>
      <c r="F27" s="17" t="s">
        <v>643</v>
      </c>
      <c r="G27" s="15">
        <f>COUNTIF(jira_simple_export[Группа A/B теста], "A")</f>
        <v>60</v>
      </c>
      <c r="H27" s="15">
        <f>COUNTIF(jira_simple_export[Группа A/B теста], "B")</f>
        <v>40</v>
      </c>
      <c r="I27" s="18">
        <f>1-H27/G27</f>
        <v>0.33333333333333337</v>
      </c>
    </row>
    <row r="28" spans="1:9" x14ac:dyDescent="0.25">
      <c r="A28" s="15" t="s">
        <v>71</v>
      </c>
      <c r="B28" s="16">
        <v>8</v>
      </c>
      <c r="C28" s="16">
        <v>2</v>
      </c>
      <c r="D28" s="16">
        <v>10</v>
      </c>
      <c r="F28" s="17" t="s">
        <v>357</v>
      </c>
      <c r="G28" s="27">
        <f>AVERAGEIF(jira_simple_export[Группа A/B теста], "A", jira_simple_export[Время решения (часы)])</f>
        <v>18.133333333333329</v>
      </c>
      <c r="H28" s="15">
        <f>AVERAGEIF(jira_simple_export[Группа A/B теста], "B", jira_simple_export[Время решения (часы)])</f>
        <v>22.289999999999996</v>
      </c>
      <c r="I28" s="18">
        <f>1-H28/G28</f>
        <v>-0.22922794117647061</v>
      </c>
    </row>
    <row r="29" spans="1:9" x14ac:dyDescent="0.25">
      <c r="A29" s="15" t="s">
        <v>18</v>
      </c>
      <c r="B29" s="16">
        <v>19</v>
      </c>
      <c r="C29" s="16">
        <v>5</v>
      </c>
      <c r="D29" s="16">
        <v>24</v>
      </c>
      <c r="F29" s="17" t="s">
        <v>644</v>
      </c>
      <c r="G29" s="15">
        <f>COUNTIFS(jira_simple_export[Группа A/B теста], "A", jira_simple_export[Priority], "Highest")</f>
        <v>1</v>
      </c>
      <c r="H29" s="15">
        <f>COUNTIFS(jira_simple_export[Группа A/B теста], "B", jira_simple_export[Priority], "Highest")</f>
        <v>3</v>
      </c>
      <c r="I29" s="18">
        <f>1-H29/G29</f>
        <v>-2</v>
      </c>
    </row>
    <row r="30" spans="1:9" x14ac:dyDescent="0.25">
      <c r="A30" s="15" t="s">
        <v>53</v>
      </c>
      <c r="B30" s="16">
        <v>7</v>
      </c>
      <c r="C30" s="16">
        <v>3</v>
      </c>
      <c r="D30" s="16">
        <v>10</v>
      </c>
    </row>
    <row r="31" spans="1:9" x14ac:dyDescent="0.25">
      <c r="A31" s="15" t="s">
        <v>124</v>
      </c>
      <c r="B31" s="16">
        <v>8</v>
      </c>
      <c r="C31" s="16">
        <v>2</v>
      </c>
      <c r="D31" s="16">
        <v>10</v>
      </c>
    </row>
    <row r="32" spans="1:9" x14ac:dyDescent="0.25">
      <c r="A32" s="15" t="s">
        <v>33</v>
      </c>
      <c r="B32" s="16">
        <v>9</v>
      </c>
      <c r="C32" s="16">
        <v>6</v>
      </c>
      <c r="D32" s="16">
        <v>15</v>
      </c>
    </row>
    <row r="33" spans="1:4" x14ac:dyDescent="0.25">
      <c r="A33" s="15" t="s">
        <v>79</v>
      </c>
      <c r="B33" s="16"/>
      <c r="C33" s="16">
        <v>2</v>
      </c>
      <c r="D33" s="16">
        <v>2</v>
      </c>
    </row>
    <row r="34" spans="1:4" x14ac:dyDescent="0.25">
      <c r="A34" s="15" t="s">
        <v>45</v>
      </c>
      <c r="B34" s="16"/>
      <c r="C34" s="16">
        <v>9</v>
      </c>
      <c r="D34" s="16">
        <v>9</v>
      </c>
    </row>
    <row r="35" spans="1:4" x14ac:dyDescent="0.25">
      <c r="A35" s="15" t="s">
        <v>121</v>
      </c>
      <c r="B35" s="16">
        <v>4</v>
      </c>
      <c r="C35" s="16">
        <v>2</v>
      </c>
      <c r="D35" s="16">
        <v>6</v>
      </c>
    </row>
    <row r="36" spans="1:4" x14ac:dyDescent="0.25">
      <c r="A36" s="15" t="s">
        <v>278</v>
      </c>
      <c r="B36" s="16">
        <v>60</v>
      </c>
      <c r="C36" s="16">
        <v>40</v>
      </c>
      <c r="D36" s="16">
        <v>100</v>
      </c>
    </row>
  </sheetData>
  <conditionalFormatting pivot="1" sqref="B27:D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23FD-8F3F-445F-A0EE-89FCF927B3A7}">
  <dimension ref="A1:K26"/>
  <sheetViews>
    <sheetView tabSelected="1" workbookViewId="0">
      <selection activeCell="I19" sqref="I19"/>
    </sheetView>
  </sheetViews>
  <sheetFormatPr defaultRowHeight="15" x14ac:dyDescent="0.25"/>
  <cols>
    <col min="1" max="1" width="29.140625" style="6" customWidth="1"/>
    <col min="2" max="2" width="16.85546875" style="6" customWidth="1"/>
    <col min="3" max="3" width="17.140625" style="6" customWidth="1"/>
    <col min="4" max="4" width="14.5703125" style="6" customWidth="1"/>
    <col min="5" max="5" width="9.140625" style="6" customWidth="1"/>
    <col min="6" max="16384" width="9.140625" style="6"/>
  </cols>
  <sheetData>
    <row r="1" spans="1:11" ht="65.25" customHeight="1" x14ac:dyDescent="0.25">
      <c r="A1" s="26" t="s">
        <v>650</v>
      </c>
      <c r="B1" s="26"/>
      <c r="C1" s="26"/>
      <c r="D1" s="26"/>
      <c r="E1" s="21"/>
    </row>
    <row r="2" spans="1:11" ht="15" customHeight="1" x14ac:dyDescent="0.25">
      <c r="A2" s="33" t="s">
        <v>651</v>
      </c>
      <c r="B2" s="33"/>
      <c r="C2" s="33"/>
      <c r="D2" s="33"/>
      <c r="E2" s="7"/>
    </row>
    <row r="3" spans="1:11" ht="30" x14ac:dyDescent="0.25">
      <c r="A3" s="34" t="s">
        <v>642</v>
      </c>
      <c r="B3" s="34" t="s">
        <v>662</v>
      </c>
      <c r="C3" s="34" t="s">
        <v>663</v>
      </c>
      <c r="D3" s="34" t="s">
        <v>646</v>
      </c>
    </row>
    <row r="4" spans="1:11" x14ac:dyDescent="0.25">
      <c r="A4" s="34" t="s">
        <v>652</v>
      </c>
      <c r="B4" s="34">
        <f>'T-test'!B17</f>
        <v>60</v>
      </c>
      <c r="C4" s="34">
        <f>'T-test'!C17</f>
        <v>40</v>
      </c>
      <c r="D4" s="35">
        <f>(B4-C4)/B4</f>
        <v>0.33333333333333331</v>
      </c>
    </row>
    <row r="5" spans="1:11" x14ac:dyDescent="0.25">
      <c r="A5" s="34" t="s">
        <v>653</v>
      </c>
      <c r="B5" s="36">
        <f>'T-test'!B19</f>
        <v>4.2857142857142856</v>
      </c>
      <c r="C5" s="34">
        <f>'T-test'!B20</f>
        <v>2.8571428571428572</v>
      </c>
      <c r="D5" s="35">
        <f t="shared" ref="D5:D7" si="0">(B5-C5)/B5</f>
        <v>0.33333333333333331</v>
      </c>
    </row>
    <row r="6" spans="1:11" x14ac:dyDescent="0.25">
      <c r="A6" s="34" t="s">
        <v>357</v>
      </c>
      <c r="B6" s="36">
        <f>'Сводные таблицы'!G28</f>
        <v>18.133333333333329</v>
      </c>
      <c r="C6" s="34">
        <f>'Сводные таблицы'!H28</f>
        <v>22.289999999999996</v>
      </c>
      <c r="D6" s="35">
        <f t="shared" si="0"/>
        <v>-0.22922794117647061</v>
      </c>
    </row>
    <row r="7" spans="1:11" x14ac:dyDescent="0.25">
      <c r="A7" s="34" t="s">
        <v>654</v>
      </c>
      <c r="B7" s="34">
        <f>'Сводные таблицы'!G29</f>
        <v>1</v>
      </c>
      <c r="C7" s="34">
        <f>'Сводные таблицы'!H29</f>
        <v>3</v>
      </c>
      <c r="D7" s="35">
        <f t="shared" si="0"/>
        <v>-2</v>
      </c>
    </row>
    <row r="8" spans="1:11" ht="15.75" x14ac:dyDescent="0.25">
      <c r="A8" s="37" t="s">
        <v>655</v>
      </c>
      <c r="B8" s="37"/>
      <c r="C8" s="37"/>
      <c r="D8" s="37"/>
    </row>
    <row r="9" spans="1:11" x14ac:dyDescent="0.25">
      <c r="A9" s="38" t="s">
        <v>656</v>
      </c>
      <c r="B9" s="39">
        <f>'T-test'!D24</f>
        <v>1.3999833288873199E-2</v>
      </c>
      <c r="C9" s="38"/>
      <c r="D9" s="38"/>
    </row>
    <row r="10" spans="1:11" ht="30" x14ac:dyDescent="0.25">
      <c r="A10" s="38" t="s">
        <v>657</v>
      </c>
      <c r="B10" s="38" t="str">
        <f>IF(B9&lt;0.05, "Статистически значимо", "Статистически не значимо")</f>
        <v>Статистически значимо</v>
      </c>
      <c r="C10" s="38"/>
      <c r="D10" s="38"/>
    </row>
    <row r="11" spans="1:11" x14ac:dyDescent="0.25">
      <c r="A11" s="38" t="s">
        <v>648</v>
      </c>
      <c r="B11" s="38" t="str">
        <f>TEXT('T-test'!$D$26,"0,0%")</f>
        <v>-33,3%</v>
      </c>
      <c r="C11" s="38"/>
      <c r="D11" s="38"/>
    </row>
    <row r="12" spans="1:11" ht="30" x14ac:dyDescent="0.25">
      <c r="A12" s="38" t="s">
        <v>661</v>
      </c>
      <c r="B12" s="38" t="str">
        <f>TEXT('T-test'!$D$27,"0,00")</f>
        <v>0,45</v>
      </c>
      <c r="C12" s="38"/>
      <c r="D12" s="38"/>
    </row>
    <row r="13" spans="1:11" ht="32.25" customHeight="1" x14ac:dyDescent="0.25">
      <c r="A13" s="22" t="s">
        <v>279</v>
      </c>
      <c r="B13" s="22" t="s">
        <v>355</v>
      </c>
      <c r="E13" s="32" t="s">
        <v>665</v>
      </c>
      <c r="F13" s="32"/>
      <c r="G13" s="32"/>
      <c r="H13" s="32"/>
      <c r="I13" s="32"/>
      <c r="J13" s="32"/>
      <c r="K13" s="32"/>
    </row>
    <row r="14" spans="1:11" ht="24" customHeight="1" x14ac:dyDescent="0.25">
      <c r="A14" s="22" t="s">
        <v>277</v>
      </c>
      <c r="B14" s="6" t="s">
        <v>17</v>
      </c>
      <c r="C14" s="6" t="s">
        <v>26</v>
      </c>
      <c r="D14" s="6" t="s">
        <v>278</v>
      </c>
      <c r="E14" s="28" t="s">
        <v>658</v>
      </c>
      <c r="F14" s="28"/>
      <c r="G14" s="28"/>
      <c r="H14" s="28"/>
      <c r="I14" s="28"/>
      <c r="J14" s="28"/>
      <c r="K14" s="28"/>
    </row>
    <row r="15" spans="1:11" x14ac:dyDescent="0.25">
      <c r="A15" s="6" t="s">
        <v>38</v>
      </c>
      <c r="B15" s="1">
        <v>5</v>
      </c>
      <c r="C15" s="1">
        <v>9</v>
      </c>
      <c r="D15" s="1">
        <v>14</v>
      </c>
      <c r="E15" s="29" t="s">
        <v>659</v>
      </c>
      <c r="F15" s="29"/>
      <c r="G15" s="29"/>
      <c r="H15" s="29"/>
      <c r="I15" s="29"/>
      <c r="J15" s="29"/>
      <c r="K15" s="29"/>
    </row>
    <row r="16" spans="1:11" ht="30" x14ac:dyDescent="0.25">
      <c r="A16" s="6" t="s">
        <v>71</v>
      </c>
      <c r="B16" s="1">
        <v>8</v>
      </c>
      <c r="C16" s="1">
        <v>2</v>
      </c>
      <c r="D16" s="1">
        <v>10</v>
      </c>
      <c r="E16" s="29" t="s">
        <v>660</v>
      </c>
      <c r="F16" s="29"/>
      <c r="G16" s="29"/>
      <c r="H16" s="29"/>
      <c r="I16" s="29"/>
      <c r="J16" s="29"/>
      <c r="K16" s="29"/>
    </row>
    <row r="17" spans="1:11" x14ac:dyDescent="0.25">
      <c r="A17" s="6" t="s">
        <v>18</v>
      </c>
      <c r="B17" s="1">
        <v>19</v>
      </c>
      <c r="C17" s="1">
        <v>5</v>
      </c>
      <c r="D17" s="1">
        <v>24</v>
      </c>
      <c r="E17" s="30" t="s">
        <v>664</v>
      </c>
      <c r="F17" s="31"/>
      <c r="G17" s="31"/>
      <c r="H17" s="31"/>
      <c r="I17" s="31"/>
      <c r="J17" s="31"/>
      <c r="K17" s="31"/>
    </row>
    <row r="18" spans="1:11" ht="45" customHeight="1" x14ac:dyDescent="0.25">
      <c r="A18" s="6" t="s">
        <v>53</v>
      </c>
      <c r="B18" s="1">
        <v>7</v>
      </c>
      <c r="C18" s="1">
        <v>3</v>
      </c>
      <c r="D18" s="1">
        <v>10</v>
      </c>
      <c r="E18" s="20"/>
    </row>
    <row r="19" spans="1:11" ht="45" customHeight="1" x14ac:dyDescent="0.25">
      <c r="A19" s="6" t="s">
        <v>124</v>
      </c>
      <c r="B19" s="1">
        <v>8</v>
      </c>
      <c r="C19" s="1">
        <v>2</v>
      </c>
      <c r="D19" s="1">
        <v>10</v>
      </c>
      <c r="E19" s="20"/>
    </row>
    <row r="20" spans="1:11" ht="45" customHeight="1" x14ac:dyDescent="0.25">
      <c r="A20" s="6" t="s">
        <v>33</v>
      </c>
      <c r="B20" s="1">
        <v>9</v>
      </c>
      <c r="C20" s="1">
        <v>6</v>
      </c>
      <c r="D20" s="1">
        <v>15</v>
      </c>
      <c r="E20" s="20"/>
    </row>
    <row r="21" spans="1:11" ht="30" x14ac:dyDescent="0.25">
      <c r="A21" s="6" t="s">
        <v>79</v>
      </c>
      <c r="B21" s="1"/>
      <c r="C21" s="1">
        <v>2</v>
      </c>
      <c r="D21" s="1">
        <v>2</v>
      </c>
    </row>
    <row r="22" spans="1:11" ht="30" x14ac:dyDescent="0.25">
      <c r="A22" s="6" t="s">
        <v>45</v>
      </c>
      <c r="B22" s="1"/>
      <c r="C22" s="1">
        <v>9</v>
      </c>
      <c r="D22" s="1">
        <v>9</v>
      </c>
    </row>
    <row r="23" spans="1:11" ht="30" x14ac:dyDescent="0.25">
      <c r="A23" s="6" t="s">
        <v>121</v>
      </c>
      <c r="B23" s="1">
        <v>4</v>
      </c>
      <c r="C23" s="1">
        <v>2</v>
      </c>
      <c r="D23" s="1">
        <v>6</v>
      </c>
    </row>
    <row r="24" spans="1:11" ht="45" customHeight="1" x14ac:dyDescent="0.25">
      <c r="A24" s="6" t="s">
        <v>278</v>
      </c>
      <c r="B24" s="1">
        <v>60</v>
      </c>
      <c r="C24" s="1">
        <v>40</v>
      </c>
      <c r="D24" s="1">
        <v>100</v>
      </c>
    </row>
    <row r="25" spans="1:11" ht="45" customHeight="1" x14ac:dyDescent="0.25">
      <c r="E25" s="20"/>
    </row>
    <row r="26" spans="1:11" x14ac:dyDescent="0.25">
      <c r="E26" s="20"/>
    </row>
  </sheetData>
  <mergeCells count="8">
    <mergeCell ref="E17:K17"/>
    <mergeCell ref="E13:K13"/>
    <mergeCell ref="E15:K15"/>
    <mergeCell ref="E16:K16"/>
    <mergeCell ref="A2:D2"/>
    <mergeCell ref="A1:D1"/>
    <mergeCell ref="A8:D8"/>
    <mergeCell ref="E14:K14"/>
  </mergeCells>
  <conditionalFormatting pivot="1" sqref="B15:D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B32665-0767-42C5-818A-BCF442D3E6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jira_full_export</vt:lpstr>
      <vt:lpstr>simple_data_Table</vt:lpstr>
      <vt:lpstr>jira_aggregated_data</vt:lpstr>
      <vt:lpstr>jira_daily_stats</vt:lpstr>
      <vt:lpstr>T-test</vt:lpstr>
      <vt:lpstr>Сводные таблицы</vt:lpstr>
      <vt:lpstr>Дашборд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Nimos</dc:creator>
  <cp:lastModifiedBy>Nimos</cp:lastModifiedBy>
  <dcterms:created xsi:type="dcterms:W3CDTF">2026-02-11T19:07:10Z</dcterms:created>
  <dcterms:modified xsi:type="dcterms:W3CDTF">2026-02-12T13:40:54Z</dcterms:modified>
</cp:coreProperties>
</file>